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1. Indicator Tracker" sheetId="2" state="visible" r:id="rId2"/>
    <sheet name="2. S-I Identity" sheetId="3" state="visible" r:id="rId3"/>
    <sheet name="3. Revenue &amp; CIT" sheetId="4" state="visible" r:id="rId4"/>
    <sheet name="4. Debt" sheetId="5" state="visible" r:id="rId5"/>
    <sheet name="5. External Sector" sheetId="6" state="visible" r:id="rId6"/>
    <sheet name="6. FDI by Source" sheetId="7" state="visible" r:id="rId7"/>
    <sheet name="7. Industry" sheetId="8" state="visible" r:id="rId8"/>
    <sheet name="8. MA vs SA Scorecard" sheetId="9" state="visible" r:id="rId9"/>
    <sheet name="9. Human Capital &amp; Water" sheetId="10" state="visible" r:id="rId10"/>
    <sheet name="10. Complexity &amp; TiVA" sheetId="11" state="visible" r:id="rId11"/>
    <sheet name="11. Reconciliation" sheetId="12" state="visible" r:id="rId12"/>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14"/>
    </font>
    <font>
      <b val="1"/>
    </font>
    <font>
      <b val="1"/>
      <color rgb="00FFFFFF"/>
      <sz val="11"/>
    </font>
    <font>
      <i val="1"/>
      <color rgb="00555555"/>
      <sz val="9"/>
    </font>
    <font/>
  </fonts>
  <fills count="7">
    <fill>
      <patternFill/>
    </fill>
    <fill>
      <patternFill patternType="gray125"/>
    </fill>
    <fill>
      <patternFill patternType="solid">
        <fgColor rgb="001B2A4A"/>
      </patternFill>
    </fill>
    <fill>
      <patternFill patternType="solid">
        <fgColor rgb="00FFF2CC"/>
      </patternFill>
    </fill>
    <fill>
      <patternFill patternType="solid">
        <fgColor rgb="00C6EFCE"/>
      </patternFill>
    </fill>
    <fill>
      <patternFill patternType="solid">
        <fgColor rgb="00DDEBF7"/>
      </patternFill>
    </fill>
    <fill>
      <patternFill patternType="solid">
        <fgColor rgb="00FFC7CE"/>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vertical="top" wrapText="1"/>
    </xf>
    <xf numFmtId="0" fontId="0" fillId="0" borderId="0" applyAlignment="1" pivotButton="0" quotePrefix="0" xfId="0">
      <alignment vertical="top" wrapText="1"/>
    </xf>
    <xf numFmtId="0" fontId="2" fillId="3" borderId="0" applyAlignment="1" pivotButton="0" quotePrefix="0" xfId="0">
      <alignment vertical="top" wrapText="1"/>
    </xf>
    <xf numFmtId="0" fontId="2" fillId="4" borderId="0" applyAlignment="1" pivotButton="0" quotePrefix="0" xfId="0">
      <alignment vertical="top" wrapText="1"/>
    </xf>
    <xf numFmtId="0" fontId="2" fillId="5" borderId="0" applyAlignment="1" pivotButton="0" quotePrefix="0" xfId="0">
      <alignment vertical="top" wrapText="1"/>
    </xf>
    <xf numFmtId="0" fontId="2" fillId="6" borderId="0" applyAlignment="1" pivotButton="0" quotePrefix="0" xfId="0">
      <alignment vertical="top" wrapText="1"/>
    </xf>
    <xf numFmtId="0" fontId="3" fillId="2" borderId="1" applyAlignment="1" pivotButton="0" quotePrefix="0" xfId="0">
      <alignment vertical="top" wrapText="1"/>
    </xf>
    <xf numFmtId="0" fontId="0" fillId="0" borderId="1" applyAlignment="1" pivotButton="0" quotePrefix="0" xfId="0">
      <alignment horizontal="center" vertical="center"/>
    </xf>
    <xf numFmtId="0" fontId="0" fillId="0" borderId="1" applyAlignment="1" pivotButton="0" quotePrefix="0" xfId="0">
      <alignment vertical="top" wrapText="1"/>
    </xf>
    <xf numFmtId="0" fontId="2" fillId="0" borderId="1" pivotButton="0" quotePrefix="0" xfId="0"/>
    <xf numFmtId="0" fontId="0" fillId="3" borderId="1" applyAlignment="1" pivotButton="0" quotePrefix="0" xfId="0">
      <alignment vertical="top" wrapText="1"/>
    </xf>
    <xf numFmtId="0" fontId="0" fillId="3" borderId="1" applyAlignment="1" pivotButton="0" quotePrefix="0" xfId="0">
      <alignment horizontal="center" vertical="center"/>
    </xf>
    <xf numFmtId="0" fontId="0" fillId="5" borderId="1" applyAlignment="1" pivotButton="0" quotePrefix="0" xfId="0">
      <alignment vertical="top" wrapText="1"/>
    </xf>
    <xf numFmtId="0" fontId="2" fillId="0" borderId="1" applyAlignment="1" pivotButton="0" quotePrefix="0" xfId="0">
      <alignment vertical="top" wrapText="1"/>
    </xf>
    <xf numFmtId="0" fontId="0" fillId="4" borderId="1" applyAlignment="1" pivotButton="0" quotePrefix="0" xfId="0">
      <alignment horizontal="center" vertical="center"/>
    </xf>
    <xf numFmtId="0" fontId="4" fillId="0" borderId="0" applyAlignment="1" pivotButton="0" quotePrefix="0" xfId="0">
      <alignment vertical="top" wrapText="1"/>
    </xf>
    <xf numFmtId="0" fontId="2" fillId="0" borderId="0" pivotButton="0" quotePrefix="0" xfId="0"/>
    <xf numFmtId="0" fontId="0" fillId="4" borderId="0" pivotButton="0" quotePrefix="0" xfId="0"/>
    <xf numFmtId="0" fontId="4" fillId="0" borderId="0" pivotButton="0" quotePrefix="0" xfId="0"/>
    <xf numFmtId="0" fontId="5" fillId="0" borderId="1" pivotButton="0" quotePrefix="0" xfId="0"/>
    <xf numFmtId="0" fontId="0" fillId="3" borderId="1" pivotButton="0" quotePrefix="0" xfId="0"/>
    <xf numFmtId="0" fontId="0" fillId="4" borderId="1" pivotButton="0" quotePrefix="0" xfId="0"/>
    <xf numFmtId="0" fontId="0" fillId="0" borderId="1" pivotButton="0" quotePrefix="0" xfId="0"/>
    <xf numFmtId="0" fontId="0" fillId="3" borderId="0" pivotButton="0" quotePrefix="0" xfId="0"/>
  </cellXfs>
  <cellStyles count="1">
    <cellStyle name="Normal" xfId="0" builtinId="0" hidden="0"/>
  </cellStyles>
  <dxfs count="4">
    <dxf>
      <fill>
        <patternFill patternType="solid">
          <fgColor rgb="00FFC7CE"/>
        </patternFill>
      </fill>
    </dxf>
    <dxf>
      <fill>
        <patternFill patternType="solid">
          <fgColor rgb="00C6EFCE"/>
        </patternFill>
      </fill>
    </dxf>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19"/>
  <sheetViews>
    <sheetView workbookViewId="0">
      <selection activeCell="A1" sqref="A1"/>
    </sheetView>
  </sheetViews>
  <sheetFormatPr baseColWidth="8" defaultRowHeight="15"/>
  <cols>
    <col width="3" customWidth="1" min="1" max="1"/>
    <col width="30" customWidth="1" min="2" max="2"/>
    <col width="90" customWidth="1" min="3" max="3"/>
  </cols>
  <sheetData>
    <row r="2" ht="26" customHeight="1">
      <c r="B2" s="1" t="inlineStr">
        <is>
          <t>THE MOROCCO EQUATION — MASTER DATA WORKBOOK</t>
        </is>
      </c>
    </row>
    <row r="4">
      <c r="B4" s="2" t="inlineStr"/>
      <c r="C4" s="3" t="inlineStr"/>
    </row>
    <row r="5">
      <c r="B5" s="2" t="inlineStr">
        <is>
          <t>PURPOSE</t>
        </is>
      </c>
      <c r="C5" s="3" t="inlineStr">
        <is>
          <t>Collect every number your report needs ONCE, from authoritative sources, with built-in cross-checks. Then correct the manuscript and build all exhibits from this single source of truth.</t>
        </is>
      </c>
    </row>
    <row r="6">
      <c r="B6" s="2" t="inlineStr"/>
      <c r="C6" s="3" t="inlineStr"/>
    </row>
    <row r="7">
      <c r="B7" s="2" t="inlineStr">
        <is>
          <t>COLOR LEGEND</t>
        </is>
      </c>
      <c r="C7" s="3" t="inlineStr"/>
    </row>
    <row r="8">
      <c r="B8" s="4" t="inlineStr">
        <is>
          <t xml:space="preserve">  Yellow cell</t>
        </is>
      </c>
      <c r="C8" s="3" t="inlineStr">
        <is>
          <t>YOU fill this in. Raw data you collect from the source.</t>
        </is>
      </c>
    </row>
    <row r="9">
      <c r="B9" s="5" t="inlineStr">
        <is>
          <t xml:space="preserve">  Green cell</t>
        </is>
      </c>
      <c r="C9" s="3" t="inlineStr">
        <is>
          <t>AUTO-CALCULATED by formula (gap, CAGR, totals, checks). Do not type here.</t>
        </is>
      </c>
    </row>
    <row r="10">
      <c r="B10" s="6" t="inlineStr">
        <is>
          <t xml:space="preserve">  Blue cell</t>
        </is>
      </c>
      <c r="C10" s="3" t="inlineStr">
        <is>
          <t>Reference / 'value currently in your paper' — used to reconcile.</t>
        </is>
      </c>
    </row>
    <row r="11">
      <c r="B11" s="7" t="inlineStr">
        <is>
          <t xml:space="preserve">  Red flag</t>
        </is>
      </c>
      <c r="C11" s="3" t="inlineStr">
        <is>
          <t>A CHECK cell turned red = your numbers contradict each other or the paper. Investigate.</t>
        </is>
      </c>
    </row>
    <row r="12">
      <c r="B12" s="2" t="inlineStr"/>
      <c r="C12" s="3" t="inlineStr"/>
    </row>
    <row r="13">
      <c r="B13" s="2" t="inlineStr">
        <is>
          <t>HOW TO WORK</t>
        </is>
      </c>
      <c r="C13" s="3" t="inlineStr">
        <is>
          <t>1) Go sheet by sheet (they follow the report's Parts).  2) Fill yellow cells with sourced values + paste the source URL.  3) Watch the CHECK column — green 'OK' = consistent, red = fix.  4) When a sheet is fully green, copy its 'CHART-READY' block into Datawrapper.</t>
        </is>
      </c>
    </row>
    <row r="14">
      <c r="B14" s="2" t="inlineStr"/>
      <c r="C14" s="3" t="inlineStr"/>
    </row>
    <row r="15">
      <c r="B15" s="2" t="inlineStr">
        <is>
          <t>GOLDEN RULE</t>
        </is>
      </c>
      <c r="C15" s="3" t="inlineStr">
        <is>
          <t>Never type a number into the manuscript that is not first in this workbook and not green-checked. This is how you guarantee every figure in 55 pages reconciles.</t>
        </is>
      </c>
    </row>
    <row r="16">
      <c r="B16" s="2" t="inlineStr"/>
      <c r="C16" s="3" t="inlineStr"/>
    </row>
    <row r="17">
      <c r="B17" s="2" t="inlineStr">
        <is>
          <t>PRIORITY</t>
        </is>
      </c>
      <c r="C17" s="3" t="inlineStr">
        <is>
          <t>Fill HIGH-priority sheets first (Macro, S-I, FDI, Debt, Complexity, Human Capital). They carry the thesis and fix the known errors (the CIT/amnesty problem).</t>
        </is>
      </c>
    </row>
    <row r="18">
      <c r="B18" s="2" t="inlineStr"/>
      <c r="C18" s="3" t="inlineStr"/>
    </row>
    <row r="19">
      <c r="B19" s="2" t="inlineStr">
        <is>
          <t>SOURCE SHORTCUTS</t>
        </is>
      </c>
      <c r="C19" s="3" t="inlineStr">
        <is>
          <t>HCP (hcp.ma) · Bank Al-Maghrib (bkam.ma) · Office des Changes (oc.gov.ma) · Ministry of Finance/TGR (tgr.gov.ma) · IMF Article IV (imf.org) · World Bank (data.worldbank.org) · Harvard Atlas (atlas.hks.harvard.edu) · OECD TiVA (stats.oecd.org) · UNCTAD (unctad.org) · AfDB · FAO AQUASTAT · Tanger Med Port Authority annual reports.</t>
        </is>
      </c>
    </row>
  </sheetData>
  <mergeCells count="1">
    <mergeCell ref="B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55"/>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34" customWidth="1" min="3" max="3"/>
    <col width="12" customWidth="1" min="4" max="4"/>
    <col width="20" customWidth="1" min="5" max="5"/>
    <col width="24" customWidth="1" min="6" max="6"/>
    <col width="30" customWidth="1" min="7" max="7"/>
    <col width="9" customWidth="1" min="8" max="8"/>
    <col width="12" customWidth="1" min="9" max="9"/>
    <col width="26" customWidth="1" min="10" max="10"/>
    <col width="30" customWidth="1" min="11" max="11"/>
  </cols>
  <sheetData>
    <row r="1" ht="22" customHeight="1">
      <c r="A1" s="1" t="inlineStr">
        <is>
          <t>MASTER INDICATOR TRACKER  —  your collection shopping list</t>
        </is>
      </c>
    </row>
    <row r="2">
      <c r="A2" s="8" t="inlineStr">
        <is>
          <t>#</t>
        </is>
      </c>
      <c r="B2" s="8" t="inlineStr">
        <is>
          <t>Report Part / Exhibit</t>
        </is>
      </c>
      <c r="C2" s="8" t="inlineStr">
        <is>
          <t>Indicator</t>
        </is>
      </c>
      <c r="D2" s="8" t="inlineStr">
        <is>
          <t>Unit</t>
        </is>
      </c>
      <c r="E2" s="8" t="inlineStr">
        <is>
          <t>Date range to collect</t>
        </is>
      </c>
      <c r="F2" s="8" t="inlineStr">
        <is>
          <t>Primary source</t>
        </is>
      </c>
      <c r="G2" s="8" t="inlineStr">
        <is>
          <t>Source URL (paste)</t>
        </is>
      </c>
      <c r="H2" s="8" t="inlineStr">
        <is>
          <t>Priority</t>
        </is>
      </c>
      <c r="I2" s="8" t="inlineStr">
        <is>
          <t>Status</t>
        </is>
      </c>
      <c r="J2" s="8" t="inlineStr">
        <is>
          <t>Value in paper now (to reconcile)</t>
        </is>
      </c>
      <c r="K2" s="8" t="inlineStr">
        <is>
          <t>Notes</t>
        </is>
      </c>
    </row>
    <row r="3">
      <c r="A3" s="9" t="n">
        <v>1</v>
      </c>
      <c r="B3" s="10" t="inlineStr">
        <is>
          <t>II / FIG-A</t>
        </is>
      </c>
      <c r="C3" s="11" t="inlineStr">
        <is>
          <t>Non-agricultural GDP growth</t>
        </is>
      </c>
      <c r="D3" s="9" t="inlineStr">
        <is>
          <t>% YoY</t>
        </is>
      </c>
      <c r="E3" s="10" t="inlineStr">
        <is>
          <t>Q1-2023 → Q4-2025 + 2026F</t>
        </is>
      </c>
      <c r="F3" s="10" t="inlineStr">
        <is>
          <t>HCP National Accounts</t>
        </is>
      </c>
      <c r="G3" s="12" t="n"/>
      <c r="H3" s="9" t="inlineStr">
        <is>
          <t>HIGH</t>
        </is>
      </c>
      <c r="I3" s="13" t="inlineStr">
        <is>
          <t>TODO</t>
        </is>
      </c>
      <c r="J3" s="14" t="inlineStr">
        <is>
          <t>Q1 4.6 / Q2 5.5 / Q3 3.8 / Q4 4.0 ; 2026F 5.0</t>
        </is>
      </c>
      <c r="K3" s="12" t="n"/>
    </row>
    <row r="4">
      <c r="A4" s="9" t="n">
        <v>2</v>
      </c>
      <c r="B4" s="10" t="inlineStr">
        <is>
          <t>II / FIG-A</t>
        </is>
      </c>
      <c r="C4" s="11" t="inlineStr">
        <is>
          <t>Agricultural GDP growth</t>
        </is>
      </c>
      <c r="D4" s="9" t="inlineStr">
        <is>
          <t>% YoY</t>
        </is>
      </c>
      <c r="E4" s="10" t="inlineStr">
        <is>
          <t>Q1-2023 → Q4-2025</t>
        </is>
      </c>
      <c r="F4" s="10" t="inlineStr">
        <is>
          <t>HCP</t>
        </is>
      </c>
      <c r="G4" s="12" t="n"/>
      <c r="H4" s="9" t="inlineStr">
        <is>
          <t>HIGH</t>
        </is>
      </c>
      <c r="I4" s="13" t="inlineStr">
        <is>
          <t>TODO</t>
        </is>
      </c>
      <c r="J4" s="14" t="inlineStr">
        <is>
          <t>Q4-24 -4.7 ; Q4-25 +3.9</t>
        </is>
      </c>
      <c r="K4" s="12" t="n"/>
    </row>
    <row r="5">
      <c r="A5" s="9" t="n">
        <v>3</v>
      </c>
      <c r="B5" s="10" t="inlineStr">
        <is>
          <t>II / FIG-A</t>
        </is>
      </c>
      <c r="C5" s="11" t="inlineStr">
        <is>
          <t>Headline GDP growth</t>
        </is>
      </c>
      <c r="D5" s="9" t="inlineStr">
        <is>
          <t>% YoY</t>
        </is>
      </c>
      <c r="E5" s="10" t="inlineStr">
        <is>
          <t>2014 → 2026F</t>
        </is>
      </c>
      <c r="F5" s="10" t="inlineStr">
        <is>
          <t>HCP / IMF</t>
        </is>
      </c>
      <c r="G5" s="12" t="n"/>
      <c r="H5" s="9" t="inlineStr">
        <is>
          <t>HIGH</t>
        </is>
      </c>
      <c r="I5" s="13" t="inlineStr">
        <is>
          <t>TODO</t>
        </is>
      </c>
      <c r="J5" s="14" t="inlineStr">
        <is>
          <t>2026F 5.0</t>
        </is>
      </c>
      <c r="K5" s="12" t="n"/>
    </row>
    <row r="6">
      <c r="A6" s="9" t="n">
        <v>4</v>
      </c>
      <c r="B6" s="10" t="inlineStr">
        <is>
          <t>II / FIG-3</t>
        </is>
      </c>
      <c r="C6" s="11" t="inlineStr">
        <is>
          <t>Gross national savings</t>
        </is>
      </c>
      <c r="D6" s="9" t="inlineStr">
        <is>
          <t>% of GDP</t>
        </is>
      </c>
      <c r="E6" s="10" t="inlineStr">
        <is>
          <t>Q1-2023 → Q4-2025 (+ full yr)</t>
        </is>
      </c>
      <c r="F6" s="10" t="inlineStr">
        <is>
          <t>HCP</t>
        </is>
      </c>
      <c r="G6" s="12" t="n"/>
      <c r="H6" s="9" t="inlineStr">
        <is>
          <t>HIGH</t>
        </is>
      </c>
      <c r="I6" s="13" t="inlineStr">
        <is>
          <t>TODO</t>
        </is>
      </c>
      <c r="J6" s="14" t="inlineStr">
        <is>
          <t>30.8 (Q4) / 29.7 (full yr) — RECONCILE</t>
        </is>
      </c>
      <c r="K6" s="12" t="n"/>
    </row>
    <row r="7">
      <c r="A7" s="9" t="n">
        <v>5</v>
      </c>
      <c r="B7" s="10" t="inlineStr">
        <is>
          <t>II / FIG-3</t>
        </is>
      </c>
      <c r="C7" s="11" t="inlineStr">
        <is>
          <t>Gross investment (FBCF+)</t>
        </is>
      </c>
      <c r="D7" s="9" t="inlineStr">
        <is>
          <t>% of GDP</t>
        </is>
      </c>
      <c r="E7" s="10" t="inlineStr">
        <is>
          <t>Q1-2023 → Q4-2025 (+ full yr)</t>
        </is>
      </c>
      <c r="F7" s="10" t="inlineStr">
        <is>
          <t>HCP</t>
        </is>
      </c>
      <c r="G7" s="12" t="n"/>
      <c r="H7" s="9" t="inlineStr">
        <is>
          <t>HIGH</t>
        </is>
      </c>
      <c r="I7" s="13" t="inlineStr">
        <is>
          <t>TODO</t>
        </is>
      </c>
      <c r="J7" s="14" t="inlineStr">
        <is>
          <t>33.4 (Q4) / 32.6 (full yr) — RECONCILE</t>
        </is>
      </c>
      <c r="K7" s="12" t="n"/>
    </row>
    <row r="8">
      <c r="A8" s="9" t="n">
        <v>6</v>
      </c>
      <c r="B8" s="10" t="inlineStr">
        <is>
          <t>II / FIG-3</t>
        </is>
      </c>
      <c r="C8" s="11" t="inlineStr">
        <is>
          <t>Financing gap (I − S)</t>
        </is>
      </c>
      <c r="D8" s="9" t="inlineStr">
        <is>
          <t>% of GDP</t>
        </is>
      </c>
      <c r="E8" s="10" t="inlineStr">
        <is>
          <t>Q1-2023 → Q4-2025</t>
        </is>
      </c>
      <c r="F8" s="10" t="inlineStr">
        <is>
          <t>auto</t>
        </is>
      </c>
      <c r="G8" s="12" t="n"/>
      <c r="H8" s="9" t="inlineStr">
        <is>
          <t>HIGH</t>
        </is>
      </c>
      <c r="I8" s="13" t="inlineStr">
        <is>
          <t>TODO</t>
        </is>
      </c>
      <c r="J8" s="14" t="inlineStr">
        <is>
          <t>2.6 (Q4) / 2.9 (Q3) — RECONCILE</t>
        </is>
      </c>
      <c r="K8" s="12" t="n"/>
    </row>
    <row r="9">
      <c r="A9" s="9" t="n">
        <v>7</v>
      </c>
      <c r="B9" s="10" t="inlineStr">
        <is>
          <t>II / FIG-3b</t>
        </is>
      </c>
      <c r="C9" s="11" t="inlineStr">
        <is>
          <t>Current account balance</t>
        </is>
      </c>
      <c r="D9" s="9" t="inlineStr">
        <is>
          <t>% of GDP</t>
        </is>
      </c>
      <c r="E9" s="10" t="inlineStr">
        <is>
          <t>2018 → 2025</t>
        </is>
      </c>
      <c r="F9" s="10" t="inlineStr">
        <is>
          <t>IMF Art.IV / Office des Changes</t>
        </is>
      </c>
      <c r="G9" s="12" t="n"/>
      <c r="H9" s="9" t="inlineStr">
        <is>
          <t>HIGH</t>
        </is>
      </c>
      <c r="I9" s="13" t="inlineStr">
        <is>
          <t>TODO</t>
        </is>
      </c>
      <c r="J9" s="14" t="inlineStr">
        <is>
          <t>not stated</t>
        </is>
      </c>
      <c r="K9" s="12" t="n"/>
    </row>
    <row r="10">
      <c r="A10" s="9" t="n">
        <v>8</v>
      </c>
      <c r="B10" s="10" t="inlineStr">
        <is>
          <t>II / FIG-3b</t>
        </is>
      </c>
      <c r="C10" s="11" t="inlineStr">
        <is>
          <t>Worker remittances (MRE)</t>
        </is>
      </c>
      <c r="D10" s="9" t="inlineStr">
        <is>
          <t>% of GDP &amp; MAD bn</t>
        </is>
      </c>
      <c r="E10" s="10" t="inlineStr">
        <is>
          <t>2015 → 2025</t>
        </is>
      </c>
      <c r="F10" s="10" t="inlineStr">
        <is>
          <t>Office des Changes</t>
        </is>
      </c>
      <c r="G10" s="12" t="n"/>
      <c r="H10" s="9" t="inlineStr">
        <is>
          <t>HIGH</t>
        </is>
      </c>
      <c r="I10" s="13" t="inlineStr">
        <is>
          <t>TODO</t>
        </is>
      </c>
      <c r="J10" s="14" t="inlineStr">
        <is>
          <t>~6-7% (PLACEHOLDER [X]) — FIND</t>
        </is>
      </c>
      <c r="K10" s="12" t="n"/>
    </row>
    <row r="11">
      <c r="A11" s="9" t="n">
        <v>9</v>
      </c>
      <c r="B11" s="10" t="inlineStr">
        <is>
          <t>II / FIG-2</t>
        </is>
      </c>
      <c r="C11" s="11" t="inlineStr">
        <is>
          <t>Net FDI inflows</t>
        </is>
      </c>
      <c r="D11" s="9" t="inlineStr">
        <is>
          <t>MAD bn</t>
        </is>
      </c>
      <c r="E11" s="10" t="inlineStr">
        <is>
          <t>2018 → 2025 + Q1-2025</t>
        </is>
      </c>
      <c r="F11" s="10" t="inlineStr">
        <is>
          <t>Office des Changes</t>
        </is>
      </c>
      <c r="G11" s="12" t="n"/>
      <c r="H11" s="9" t="inlineStr">
        <is>
          <t>HIGH</t>
        </is>
      </c>
      <c r="I11" s="13" t="inlineStr">
        <is>
          <t>TODO</t>
        </is>
      </c>
      <c r="J11" s="14" t="inlineStr">
        <is>
          <t>2024 43.8 ; Q1-25 9.15 (+63.6%)</t>
        </is>
      </c>
      <c r="K11" s="12" t="n"/>
    </row>
    <row r="12">
      <c r="A12" s="9" t="n">
        <v>10</v>
      </c>
      <c r="B12" s="10" t="inlineStr">
        <is>
          <t>II / FIG-2</t>
        </is>
      </c>
      <c r="C12" s="11" t="inlineStr">
        <is>
          <t>FDI by source country</t>
        </is>
      </c>
      <c r="D12" s="9" t="inlineStr">
        <is>
          <t>% / MAD bn</t>
        </is>
      </c>
      <c r="E12" s="10" t="inlineStr">
        <is>
          <t>latest full year</t>
        </is>
      </c>
      <c r="F12" s="10" t="inlineStr">
        <is>
          <t>Office des Changes / UNCTAD</t>
        </is>
      </c>
      <c r="G12" s="12" t="n"/>
      <c r="H12" s="9" t="inlineStr">
        <is>
          <t>HIGH</t>
        </is>
      </c>
      <c r="I12" s="13" t="inlineStr">
        <is>
          <t>TODO</t>
        </is>
      </c>
      <c r="J12" s="14" t="inlineStr">
        <is>
          <t>not broken down — FIND</t>
        </is>
      </c>
      <c r="K12" s="12" t="n"/>
    </row>
    <row r="13">
      <c r="A13" s="9" t="n">
        <v>11</v>
      </c>
      <c r="B13" s="10" t="inlineStr">
        <is>
          <t>II / FIG-4</t>
        </is>
      </c>
      <c r="C13" s="11" t="inlineStr">
        <is>
          <t>Public debt (Treasury/central govt)</t>
        </is>
      </c>
      <c r="D13" s="9" t="inlineStr">
        <is>
          <t>% of GDP</t>
        </is>
      </c>
      <c r="E13" s="10" t="inlineStr">
        <is>
          <t>2005 → 2025</t>
        </is>
      </c>
      <c r="F13" s="10" t="inlineStr">
        <is>
          <t>Bank Al-Maghrib / IMF Art.IV</t>
        </is>
      </c>
      <c r="G13" s="12" t="n"/>
      <c r="H13" s="9" t="inlineStr">
        <is>
          <t>HIGH</t>
        </is>
      </c>
      <c r="I13" s="13" t="inlineStr">
        <is>
          <t>TODO</t>
        </is>
      </c>
      <c r="J13" s="14" t="inlineStr">
        <is>
          <t>2014 58.6 ; 2021 ~72 ; 2023 68.7 ; 2024 70 ; 2025 67.2</t>
        </is>
      </c>
      <c r="K13" s="12" t="n"/>
    </row>
    <row r="14">
      <c r="A14" s="9" t="n">
        <v>12</v>
      </c>
      <c r="B14" s="10" t="inlineStr">
        <is>
          <t>II / FIG-5</t>
        </is>
      </c>
      <c r="C14" s="11" t="inlineStr">
        <is>
          <t>Total net public revenue</t>
        </is>
      </c>
      <c r="D14" s="9" t="inlineStr">
        <is>
          <t>MAD bn</t>
        </is>
      </c>
      <c r="E14" s="10" t="inlineStr">
        <is>
          <t>2021 → 2025</t>
        </is>
      </c>
      <c r="F14" s="10" t="inlineStr">
        <is>
          <t>TGR / Min. Finance</t>
        </is>
      </c>
      <c r="G14" s="12" t="n"/>
      <c r="H14" s="9" t="inlineStr">
        <is>
          <t>HIGH</t>
        </is>
      </c>
      <c r="I14" s="13" t="inlineStr">
        <is>
          <t>TODO</t>
        </is>
      </c>
      <c r="J14" s="14" t="inlineStr">
        <is>
          <t>2025 424.1 (+14.2%)</t>
        </is>
      </c>
      <c r="K14" s="12" t="n"/>
    </row>
    <row r="15">
      <c r="A15" s="9" t="n">
        <v>13</v>
      </c>
      <c r="B15" s="10" t="inlineStr">
        <is>
          <t>II / FIG-5</t>
        </is>
      </c>
      <c r="C15" s="11" t="inlineStr">
        <is>
          <t>Tax revenue</t>
        </is>
      </c>
      <c r="D15" s="9" t="inlineStr">
        <is>
          <t>MAD bn</t>
        </is>
      </c>
      <c r="E15" s="10" t="inlineStr">
        <is>
          <t>2021 → 2025</t>
        </is>
      </c>
      <c r="F15" s="10" t="inlineStr">
        <is>
          <t>TGR</t>
        </is>
      </c>
      <c r="G15" s="12" t="n"/>
      <c r="H15" s="9" t="inlineStr">
        <is>
          <t>HIGH</t>
        </is>
      </c>
      <c r="I15" s="13" t="inlineStr">
        <is>
          <t>TODO</t>
        </is>
      </c>
      <c r="J15" s="14" t="inlineStr">
        <is>
          <t>2025 &gt;342 (+14.7%)</t>
        </is>
      </c>
      <c r="K15" s="12" t="n"/>
    </row>
    <row r="16">
      <c r="A16" s="9" t="n">
        <v>14</v>
      </c>
      <c r="B16" s="10" t="inlineStr">
        <is>
          <t>II / FIG-5</t>
        </is>
      </c>
      <c r="C16" s="11" t="inlineStr">
        <is>
          <t>Corporate income tax (CIT) TOTAL</t>
        </is>
      </c>
      <c r="D16" s="9" t="inlineStr">
        <is>
          <t>MAD bn</t>
        </is>
      </c>
      <c r="E16" s="10" t="inlineStr">
        <is>
          <t>2021 → 2025</t>
        </is>
      </c>
      <c r="F16" s="10" t="inlineStr">
        <is>
          <t>TGR</t>
        </is>
      </c>
      <c r="G16" s="12" t="n"/>
      <c r="H16" s="9" t="inlineStr">
        <is>
          <t>HIGH</t>
        </is>
      </c>
      <c r="I16" s="13" t="inlineStr">
        <is>
          <t>TODO</t>
        </is>
      </c>
      <c r="J16" s="14" t="inlineStr">
        <is>
          <t>2024 71.1 → 2025 91.4 (+28.6%)</t>
        </is>
      </c>
      <c r="K16" s="12" t="n"/>
    </row>
    <row r="17">
      <c r="A17" s="9" t="n">
        <v>15</v>
      </c>
      <c r="B17" s="10" t="inlineStr">
        <is>
          <t>II / FIG-5</t>
        </is>
      </c>
      <c r="C17" s="11" t="inlineStr">
        <is>
          <t>CIT one-off regularization</t>
        </is>
      </c>
      <c r="D17" s="9" t="inlineStr">
        <is>
          <t>MAD bn</t>
        </is>
      </c>
      <c r="E17" s="10" t="inlineStr">
        <is>
          <t>2025</t>
        </is>
      </c>
      <c r="F17" s="10" t="inlineStr">
        <is>
          <t>TGR / Min. Finance</t>
        </is>
      </c>
      <c r="G17" s="12" t="n"/>
      <c r="H17" s="9" t="inlineStr">
        <is>
          <t>HIGH</t>
        </is>
      </c>
      <c r="I17" s="13" t="inlineStr">
        <is>
          <t>TODO</t>
        </is>
      </c>
      <c r="J17" s="14" t="inlineStr">
        <is>
          <t>20.0 (the amnesty — MUST split out)</t>
        </is>
      </c>
      <c r="K17" s="12" t="n"/>
    </row>
    <row r="18">
      <c r="A18" s="9" t="n">
        <v>16</v>
      </c>
      <c r="B18" s="10" t="inlineStr">
        <is>
          <t>II / FIG-5</t>
        </is>
      </c>
      <c r="C18" s="11" t="inlineStr">
        <is>
          <t>CIT recurring (TOTAL − one-off)</t>
        </is>
      </c>
      <c r="D18" s="9" t="inlineStr">
        <is>
          <t>MAD bn</t>
        </is>
      </c>
      <c r="E18" s="10" t="inlineStr">
        <is>
          <t>2025</t>
        </is>
      </c>
      <c r="F18" s="10" t="inlineStr">
        <is>
          <t>auto</t>
        </is>
      </c>
      <c r="G18" s="12" t="n"/>
      <c r="H18" s="9" t="inlineStr">
        <is>
          <t>HIGH</t>
        </is>
      </c>
      <c r="I18" s="13" t="inlineStr">
        <is>
          <t>TODO</t>
        </is>
      </c>
      <c r="J18" s="14" t="inlineStr">
        <is>
          <t>~71.4 → reveals ~flat vs 2024</t>
        </is>
      </c>
      <c r="K18" s="12" t="n"/>
    </row>
    <row r="19">
      <c r="A19" s="9" t="n">
        <v>17</v>
      </c>
      <c r="B19" s="10" t="inlineStr">
        <is>
          <t>II / FIG-5</t>
        </is>
      </c>
      <c r="C19" s="11" t="inlineStr">
        <is>
          <t>Budget deficit</t>
        </is>
      </c>
      <c r="D19" s="9" t="inlineStr">
        <is>
          <t>% of GDP</t>
        </is>
      </c>
      <c r="E19" s="10" t="inlineStr">
        <is>
          <t>2021 → 2026F</t>
        </is>
      </c>
      <c r="F19" s="10" t="inlineStr">
        <is>
          <t>Min. Finance / S&amp;P</t>
        </is>
      </c>
      <c r="G19" s="12" t="n"/>
      <c r="H19" s="9" t="inlineStr">
        <is>
          <t>HIGH</t>
        </is>
      </c>
      <c r="I19" s="13" t="inlineStr">
        <is>
          <t>TODO</t>
        </is>
      </c>
      <c r="J19" s="14" t="inlineStr">
        <is>
          <t>2025 3.5 (NOT 3.6) ; 2026F 3.8</t>
        </is>
      </c>
      <c r="K19" s="12" t="n"/>
    </row>
    <row r="20">
      <c r="A20" s="9" t="n">
        <v>18</v>
      </c>
      <c r="B20" s="10" t="inlineStr">
        <is>
          <t>II / FIG-6</t>
        </is>
      </c>
      <c r="C20" s="11" t="inlineStr">
        <is>
          <t>CPI inflation</t>
        </is>
      </c>
      <c r="D20" s="9" t="inlineStr">
        <is>
          <t>% YoY monthly</t>
        </is>
      </c>
      <c r="E20" s="10" t="inlineStr">
        <is>
          <t>Jan-2021 → Apr-2026</t>
        </is>
      </c>
      <c r="F20" s="10" t="inlineStr">
        <is>
          <t>HCP</t>
        </is>
      </c>
      <c r="G20" s="12" t="n"/>
      <c r="H20" s="9" t="inlineStr">
        <is>
          <t>HIGH</t>
        </is>
      </c>
      <c r="I20" s="13" t="inlineStr">
        <is>
          <t>TODO</t>
        </is>
      </c>
      <c r="J20" s="14" t="inlineStr">
        <is>
          <t>2022 6.6 ; Feb-23 peak 10.1 ; 2024 0.9 ; 2025 0.8 ; Q1-26 -0.1 ; Apr-26 +1.7</t>
        </is>
      </c>
      <c r="K20" s="12" t="n"/>
    </row>
    <row r="21">
      <c r="A21" s="9" t="n">
        <v>19</v>
      </c>
      <c r="B21" s="10" t="inlineStr">
        <is>
          <t>II / FIG-6</t>
        </is>
      </c>
      <c r="C21" s="11" t="inlineStr">
        <is>
          <t>BAM key policy rate</t>
        </is>
      </c>
      <c r="D21" s="9" t="inlineStr">
        <is>
          <t>%</t>
        </is>
      </c>
      <c r="E21" s="10" t="inlineStr">
        <is>
          <t>Jan-2021 → Mar-2026</t>
        </is>
      </c>
      <c r="F21" s="10" t="inlineStr">
        <is>
          <t>Bank Al-Maghrib</t>
        </is>
      </c>
      <c r="G21" s="12" t="n"/>
      <c r="H21" s="9" t="inlineStr">
        <is>
          <t>HIGH</t>
        </is>
      </c>
      <c r="I21" s="13" t="inlineStr">
        <is>
          <t>TODO</t>
        </is>
      </c>
      <c r="J21" s="14" t="inlineStr">
        <is>
          <t>hiked to 3.0 ; cut to 2.25 (held)</t>
        </is>
      </c>
      <c r="K21" s="12" t="n"/>
    </row>
    <row r="22">
      <c r="A22" s="9" t="n">
        <v>20</v>
      </c>
      <c r="B22" s="10" t="inlineStr">
        <is>
          <t>II / FIG-6</t>
        </is>
      </c>
      <c r="C22" s="11" t="inlineStr">
        <is>
          <t>Bank lending rate (non-fin sector)</t>
        </is>
      </c>
      <c r="D22" s="9" t="inlineStr">
        <is>
          <t>%</t>
        </is>
      </c>
      <c r="E22" s="10" t="inlineStr">
        <is>
          <t>2023 → 2025</t>
        </is>
      </c>
      <c r="F22" s="10" t="inlineStr">
        <is>
          <t>Bank Al-Maghrib</t>
        </is>
      </c>
      <c r="G22" s="12" t="n"/>
      <c r="H22" s="9" t="inlineStr">
        <is>
          <t>MED</t>
        </is>
      </c>
      <c r="I22" s="13" t="inlineStr">
        <is>
          <t>TODO</t>
        </is>
      </c>
      <c r="J22" s="14" t="inlineStr">
        <is>
          <t>-58bp since Jun-2024 (give level)</t>
        </is>
      </c>
      <c r="K22" s="12" t="n"/>
    </row>
    <row r="23">
      <c r="A23" s="9" t="n">
        <v>21</v>
      </c>
      <c r="B23" s="10" t="inlineStr">
        <is>
          <t>II</t>
        </is>
      </c>
      <c r="C23" s="11" t="inlineStr">
        <is>
          <t>Sovereign rating (S&amp;P)</t>
        </is>
      </c>
      <c r="D23" s="9" t="inlineStr">
        <is>
          <t>notch</t>
        </is>
      </c>
      <c r="E23" s="10" t="inlineStr">
        <is>
          <t>2017 → 2026</t>
        </is>
      </c>
      <c r="F23" s="10" t="inlineStr">
        <is>
          <t>S&amp;P Global Ratings</t>
        </is>
      </c>
      <c r="G23" s="12" t="n"/>
      <c r="H23" s="9" t="inlineStr">
        <is>
          <t>HIGH</t>
        </is>
      </c>
      <c r="I23" s="13" t="inlineStr">
        <is>
          <t>TODO</t>
        </is>
      </c>
      <c r="J23" s="14" t="inlineStr">
        <is>
          <t>BBB- (Sep-2025), affirmed Mar-2026</t>
        </is>
      </c>
      <c r="K23" s="12" t="n"/>
    </row>
    <row r="24">
      <c r="A24" s="9" t="n">
        <v>22</v>
      </c>
      <c r="B24" s="10" t="inlineStr">
        <is>
          <t>II / FIG-9</t>
        </is>
      </c>
      <c r="C24" s="11" t="inlineStr">
        <is>
          <t>Moroccan Eurobond yield vs BB/BBB peers</t>
        </is>
      </c>
      <c r="D24" s="9" t="inlineStr">
        <is>
          <t>%</t>
        </is>
      </c>
      <c r="E24" s="10" t="inlineStr">
        <is>
          <t>latest</t>
        </is>
      </c>
      <c r="F24" s="10" t="inlineStr">
        <is>
          <t>Bloomberg / JPM EMBI</t>
        </is>
      </c>
      <c r="G24" s="12" t="n"/>
      <c r="H24" s="9" t="inlineStr">
        <is>
          <t>MED</t>
        </is>
      </c>
      <c r="I24" s="13" t="inlineStr">
        <is>
          <t>TODO</t>
        </is>
      </c>
      <c r="J24" s="14" t="inlineStr">
        <is>
          <t>not stated — FIND</t>
        </is>
      </c>
      <c r="K24" s="12" t="n"/>
    </row>
    <row r="25">
      <c r="A25" s="9" t="n">
        <v>23</v>
      </c>
      <c r="B25" s="10" t="inlineStr">
        <is>
          <t>III / FIG-7</t>
        </is>
      </c>
      <c r="C25" s="11" t="inlineStr">
        <is>
          <t>Real Effective Exchange Rate (REER)</t>
        </is>
      </c>
      <c r="D25" s="9" t="inlineStr">
        <is>
          <t>index</t>
        </is>
      </c>
      <c r="E25" s="10" t="inlineStr">
        <is>
          <t>2005 → 2025</t>
        </is>
      </c>
      <c r="F25" s="10" t="inlineStr">
        <is>
          <t>BIS / IMF</t>
        </is>
      </c>
      <c r="G25" s="12" t="n"/>
      <c r="H25" s="9" t="inlineStr">
        <is>
          <t>MED</t>
        </is>
      </c>
      <c r="I25" s="13" t="inlineStr">
        <is>
          <t>TODO</t>
        </is>
      </c>
      <c r="J25" s="14" t="inlineStr">
        <is>
          <t>not shown — FIND</t>
        </is>
      </c>
      <c r="K25" s="12" t="n"/>
    </row>
    <row r="26">
      <c r="A26" s="9" t="n">
        <v>24</v>
      </c>
      <c r="B26" s="10" t="inlineStr">
        <is>
          <t>III / FIG-7</t>
        </is>
      </c>
      <c r="C26" s="11" t="inlineStr">
        <is>
          <t>Labour productivity / TFP</t>
        </is>
      </c>
      <c r="D26" s="9" t="inlineStr">
        <is>
          <t>index</t>
        </is>
      </c>
      <c r="E26" s="10" t="inlineStr">
        <is>
          <t>2005 → 2025</t>
        </is>
      </c>
      <c r="F26" s="10" t="inlineStr">
        <is>
          <t>Penn World Table / Conf. Board</t>
        </is>
      </c>
      <c r="G26" s="12" t="n"/>
      <c r="H26" s="9" t="inlineStr">
        <is>
          <t>MED</t>
        </is>
      </c>
      <c r="I26" s="13" t="inlineStr">
        <is>
          <t>TODO</t>
        </is>
      </c>
      <c r="J26" s="14" t="inlineStr">
        <is>
          <t>not shown — FIND</t>
        </is>
      </c>
      <c r="K26" s="12" t="n"/>
    </row>
    <row r="27">
      <c r="A27" s="9" t="n">
        <v>25</v>
      </c>
      <c r="B27" s="10" t="inlineStr">
        <is>
          <t>III / FIG-8</t>
        </is>
      </c>
      <c r="C27" s="11" t="inlineStr">
        <is>
          <t>Dirham basket weights</t>
        </is>
      </c>
      <c r="D27" s="9" t="inlineStr">
        <is>
          <t>% EUR / % USD</t>
        </is>
      </c>
      <c r="E27" s="10" t="inlineStr">
        <is>
          <t>current</t>
        </is>
      </c>
      <c r="F27" s="10" t="inlineStr">
        <is>
          <t>Bank Al-Maghrib</t>
        </is>
      </c>
      <c r="G27" s="12" t="n"/>
      <c r="H27" s="9" t="inlineStr">
        <is>
          <t>MED</t>
        </is>
      </c>
      <c r="I27" s="13" t="inlineStr">
        <is>
          <t>TODO</t>
        </is>
      </c>
      <c r="J27" s="14" t="inlineStr">
        <is>
          <t>60 EUR / 40 USD</t>
        </is>
      </c>
      <c r="K27" s="12" t="n"/>
    </row>
    <row r="28">
      <c r="A28" s="9" t="n">
        <v>26</v>
      </c>
      <c r="B28" s="10" t="inlineStr">
        <is>
          <t>III / FIG-9</t>
        </is>
      </c>
      <c r="C28" s="11" t="inlineStr">
        <is>
          <t>Dirham fluctuation band width</t>
        </is>
      </c>
      <c r="D28" s="9" t="inlineStr">
        <is>
          <t>± %</t>
        </is>
      </c>
      <c r="E28" s="10" t="inlineStr">
        <is>
          <t>2017 / 2018 / 2020</t>
        </is>
      </c>
      <c r="F28" s="10" t="inlineStr">
        <is>
          <t>Bank Al-Maghrib</t>
        </is>
      </c>
      <c r="G28" s="12" t="n"/>
      <c r="H28" s="9" t="inlineStr">
        <is>
          <t>MED</t>
        </is>
      </c>
      <c r="I28" s="13" t="inlineStr">
        <is>
          <t>TODO</t>
        </is>
      </c>
      <c r="J28" s="14" t="inlineStr">
        <is>
          <t>±0.3 → ±2.5 → ±5.0</t>
        </is>
      </c>
      <c r="K28" s="12" t="n"/>
    </row>
    <row r="29">
      <c r="A29" s="9" t="n">
        <v>27</v>
      </c>
      <c r="B29" s="10" t="inlineStr">
        <is>
          <t>III / FIG-10</t>
        </is>
      </c>
      <c r="C29" s="11" t="inlineStr">
        <is>
          <t>FX reserves</t>
        </is>
      </c>
      <c r="D29" s="9" t="inlineStr">
        <is>
          <t>USD bn</t>
        </is>
      </c>
      <c r="E29" s="10" t="inlineStr">
        <is>
          <t>2018 → 2025</t>
        </is>
      </c>
      <c r="F29" s="10" t="inlineStr">
        <is>
          <t>Bank Al-Maghrib</t>
        </is>
      </c>
      <c r="G29" s="12" t="n"/>
      <c r="H29" s="9" t="inlineStr">
        <is>
          <t>HIGH</t>
        </is>
      </c>
      <c r="I29" s="13" t="inlineStr">
        <is>
          <t>TODO</t>
        </is>
      </c>
      <c r="J29" s="14" t="inlineStr">
        <is>
          <t>~50 (2025)</t>
        </is>
      </c>
      <c r="K29" s="12" t="n"/>
    </row>
    <row r="30">
      <c r="A30" s="9" t="n">
        <v>28</v>
      </c>
      <c r="B30" s="10" t="inlineStr">
        <is>
          <t>III / FIG-10</t>
        </is>
      </c>
      <c r="C30" s="11" t="inlineStr">
        <is>
          <t>Import cover</t>
        </is>
      </c>
      <c r="D30" s="9" t="inlineStr">
        <is>
          <t>months</t>
        </is>
      </c>
      <c r="E30" s="10" t="inlineStr">
        <is>
          <t>2018 → 2025</t>
        </is>
      </c>
      <c r="F30" s="10" t="inlineStr">
        <is>
          <t>Bank Al-Maghrib</t>
        </is>
      </c>
      <c r="G30" s="12" t="n"/>
      <c r="H30" s="9" t="inlineStr">
        <is>
          <t>HIGH</t>
        </is>
      </c>
      <c r="I30" s="13" t="inlineStr">
        <is>
          <t>TODO</t>
        </is>
      </c>
      <c r="J30" s="14" t="inlineStr">
        <is>
          <t>~6 (NOT 5.5) — RECONCILE</t>
        </is>
      </c>
      <c r="K30" s="12" t="n"/>
    </row>
    <row r="31">
      <c r="A31" s="9" t="n">
        <v>29</v>
      </c>
      <c r="B31" s="10" t="inlineStr">
        <is>
          <t>IV / FIG-11</t>
        </is>
      </c>
      <c r="C31" s="11" t="inlineStr">
        <is>
          <t>Trade share by partner</t>
        </is>
      </c>
      <c r="D31" s="9" t="inlineStr">
        <is>
          <t>% of exports</t>
        </is>
      </c>
      <c r="E31" s="10" t="inlineStr">
        <is>
          <t>latest</t>
        </is>
      </c>
      <c r="F31" s="10" t="inlineStr">
        <is>
          <t>Office des Changes</t>
        </is>
      </c>
      <c r="G31" s="12" t="n"/>
      <c r="H31" s="9" t="inlineStr">
        <is>
          <t>MED</t>
        </is>
      </c>
      <c r="I31" s="13" t="inlineStr">
        <is>
          <t>TODO</t>
        </is>
      </c>
      <c r="J31" s="14" t="inlineStr">
        <is>
          <t>EU ~one-third to Europe; FIND split</t>
        </is>
      </c>
      <c r="K31" s="12" t="n"/>
    </row>
    <row r="32">
      <c r="A32" s="9" t="n">
        <v>30</v>
      </c>
      <c r="B32" s="10" t="inlineStr">
        <is>
          <t>IV / FIG-11</t>
        </is>
      </c>
      <c r="C32" s="11" t="inlineStr">
        <is>
          <t>Exports to EU</t>
        </is>
      </c>
      <c r="D32" s="9" t="inlineStr">
        <is>
          <t>EUR bn</t>
        </is>
      </c>
      <c r="E32" s="10" t="inlineStr">
        <is>
          <t>2025</t>
        </is>
      </c>
      <c r="F32" s="10" t="inlineStr">
        <is>
          <t>Office des Changes</t>
        </is>
      </c>
      <c r="G32" s="12" t="n"/>
      <c r="H32" s="9" t="inlineStr">
        <is>
          <t>MED</t>
        </is>
      </c>
      <c r="I32" s="13" t="inlineStr">
        <is>
          <t>TODO</t>
        </is>
      </c>
      <c r="J32" s="14" t="inlineStr">
        <is>
          <t>&gt;26 (one-third of total)</t>
        </is>
      </c>
      <c r="K32" s="12" t="n"/>
    </row>
    <row r="33">
      <c r="A33" s="9" t="n">
        <v>31</v>
      </c>
      <c r="B33" s="10" t="inlineStr">
        <is>
          <t>V / FIG-12</t>
        </is>
      </c>
      <c r="C33" s="11" t="inlineStr">
        <is>
          <t>Tanger Med container throughput</t>
        </is>
      </c>
      <c r="D33" s="9" t="inlineStr">
        <is>
          <t>mn TEU</t>
        </is>
      </c>
      <c r="E33" s="10" t="inlineStr">
        <is>
          <t>2008 → 2025</t>
        </is>
      </c>
      <c r="F33" s="10" t="inlineStr">
        <is>
          <t>Tanger Med Port Authority</t>
        </is>
      </c>
      <c r="G33" s="12" t="n"/>
      <c r="H33" s="9" t="inlineStr">
        <is>
          <t>HIGH</t>
        </is>
      </c>
      <c r="I33" s="13" t="inlineStr">
        <is>
          <t>TODO</t>
        </is>
      </c>
      <c r="J33" s="14" t="inlineStr">
        <is>
          <t>&gt;9 (2025); FIND series</t>
        </is>
      </c>
      <c r="K33" s="12" t="n"/>
    </row>
    <row r="34">
      <c r="A34" s="9" t="n">
        <v>32</v>
      </c>
      <c r="B34" s="10" t="inlineStr">
        <is>
          <t>V / FIG-13</t>
        </is>
      </c>
      <c r="C34" s="11" t="inlineStr">
        <is>
          <t>National highway network</t>
        </is>
      </c>
      <c r="D34" s="9" t="inlineStr">
        <is>
          <t>km</t>
        </is>
      </c>
      <c r="E34" s="10" t="inlineStr">
        <is>
          <t>1990 → 2025</t>
        </is>
      </c>
      <c r="F34" s="10" t="inlineStr">
        <is>
          <t>Min. Equipment / ADM</t>
        </is>
      </c>
      <c r="G34" s="12" t="n"/>
      <c r="H34" s="9" t="inlineStr">
        <is>
          <t>MED</t>
        </is>
      </c>
      <c r="I34" s="13" t="inlineStr">
        <is>
          <t>TODO</t>
        </is>
      </c>
      <c r="J34" s="14" t="inlineStr">
        <is>
          <t>400 (1990) → 1800 (2025)</t>
        </is>
      </c>
      <c r="K34" s="12" t="n"/>
    </row>
    <row r="35">
      <c r="A35" s="9" t="n">
        <v>33</v>
      </c>
      <c r="B35" s="10" t="inlineStr">
        <is>
          <t>V</t>
        </is>
      </c>
      <c r="C35" s="11" t="inlineStr">
        <is>
          <t>World Cup 2030 investment envelope</t>
        </is>
      </c>
      <c r="D35" s="9" t="inlineStr">
        <is>
          <t>MAD bn / USD bn</t>
        </is>
      </c>
      <c r="E35" s="10" t="inlineStr">
        <is>
          <t>total programme</t>
        </is>
      </c>
      <c r="F35" s="10" t="inlineStr">
        <is>
          <t>Government / press</t>
        </is>
      </c>
      <c r="G35" s="12" t="n"/>
      <c r="H35" s="9" t="inlineStr">
        <is>
          <t>MED</t>
        </is>
      </c>
      <c r="I35" s="13" t="inlineStr">
        <is>
          <t>TODO</t>
        </is>
      </c>
      <c r="J35" s="14" t="inlineStr">
        <is>
          <t>'tens of billions' — FIND figure</t>
        </is>
      </c>
      <c r="K35" s="12" t="n"/>
    </row>
    <row r="36">
      <c r="A36" s="9" t="n">
        <v>34</v>
      </c>
      <c r="B36" s="10" t="inlineStr">
        <is>
          <t>VI / FIG-14</t>
        </is>
      </c>
      <c r="C36" s="11" t="inlineStr">
        <is>
          <t>Automotive exports</t>
        </is>
      </c>
      <c r="D36" s="9" t="inlineStr">
        <is>
          <t>MAD bn</t>
        </is>
      </c>
      <c r="E36" s="10" t="inlineStr">
        <is>
          <t>2014 → 2025</t>
        </is>
      </c>
      <c r="F36" s="10" t="inlineStr">
        <is>
          <t>Office des Changes / AMICA</t>
        </is>
      </c>
      <c r="G36" s="12" t="n"/>
      <c r="H36" s="9" t="inlineStr">
        <is>
          <t>HIGH</t>
        </is>
      </c>
      <c r="I36" s="13" t="inlineStr">
        <is>
          <t>TODO</t>
        </is>
      </c>
      <c r="J36" s="14" t="inlineStr">
        <is>
          <t>2024 157 (~$17bn) ; 9M-25 112.2 (-2.7%)</t>
        </is>
      </c>
      <c r="K36" s="12" t="n"/>
    </row>
    <row r="37">
      <c r="A37" s="9" t="n">
        <v>35</v>
      </c>
      <c r="B37" s="10" t="inlineStr">
        <is>
          <t>VI / FIG-15</t>
        </is>
      </c>
      <c r="C37" s="11" t="inlineStr">
        <is>
          <t>Aerospace exports</t>
        </is>
      </c>
      <c r="D37" s="9" t="inlineStr">
        <is>
          <t>MAD bn</t>
        </is>
      </c>
      <c r="E37" s="10" t="inlineStr">
        <is>
          <t>2004 → 2025</t>
        </is>
      </c>
      <c r="F37" s="10" t="inlineStr">
        <is>
          <t>Office des Changes / GIMAS</t>
        </is>
      </c>
      <c r="G37" s="12" t="n"/>
      <c r="H37" s="9" t="inlineStr">
        <is>
          <t>HIGH</t>
        </is>
      </c>
      <c r="I37" s="13" t="inlineStr">
        <is>
          <t>TODO</t>
        </is>
      </c>
      <c r="J37" s="14" t="inlineStr">
        <is>
          <t>2004 &lt;1 → 2024 26.45 ; H1-25 14.13 (+8.8%)</t>
        </is>
      </c>
      <c r="K37" s="12" t="n"/>
    </row>
    <row r="38">
      <c r="A38" s="9" t="n">
        <v>36</v>
      </c>
      <c r="B38" s="10" t="inlineStr">
        <is>
          <t>VI / FIG-16</t>
        </is>
      </c>
      <c r="C38" s="11" t="inlineStr">
        <is>
          <t>OCP revenue &amp; mix (rock/fert/chem)</t>
        </is>
      </c>
      <c r="D38" s="9" t="inlineStr">
        <is>
          <t>MAD bn / %</t>
        </is>
      </c>
      <c r="E38" s="10" t="inlineStr">
        <is>
          <t>2014 → 2025</t>
        </is>
      </c>
      <c r="F38" s="10" t="inlineStr">
        <is>
          <t>OCP Annual/Quarterly Reports</t>
        </is>
      </c>
      <c r="G38" s="12" t="n"/>
      <c r="H38" s="9" t="inlineStr">
        <is>
          <t>HIGH</t>
        </is>
      </c>
      <c r="I38" s="13" t="inlineStr">
        <is>
          <t>TODO</t>
        </is>
      </c>
      <c r="J38" s="14" t="inlineStr">
        <is>
          <t>2024 96.99 ($9.76bn), 69% fert ; 9M-25 $9.04bn (+30%)</t>
        </is>
      </c>
      <c r="K38" s="12" t="n"/>
    </row>
    <row r="39">
      <c r="A39" s="9" t="n">
        <v>37</v>
      </c>
      <c r="B39" s="10" t="inlineStr">
        <is>
          <t>VI / FIG-16b</t>
        </is>
      </c>
      <c r="C39" s="11" t="inlineStr">
        <is>
          <t>Economic Complexity Index rank</t>
        </is>
      </c>
      <c r="D39" s="9" t="inlineStr">
        <is>
          <t>rank</t>
        </is>
      </c>
      <c r="E39" s="10" t="inlineStr">
        <is>
          <t>2000 → 2023</t>
        </is>
      </c>
      <c r="F39" s="10" t="inlineStr">
        <is>
          <t>Harvard Atlas</t>
        </is>
      </c>
      <c r="G39" s="12" t="n"/>
      <c r="H39" s="9" t="inlineStr">
        <is>
          <t>HIGH</t>
        </is>
      </c>
      <c r="I39" s="13" t="inlineStr">
        <is>
          <t>TODO</t>
        </is>
      </c>
      <c r="J39" s="14" t="inlineStr">
        <is>
          <t>claimed 'moved up' — GET ACTUAL &amp; verify direction</t>
        </is>
      </c>
      <c r="K39" s="12" t="n"/>
    </row>
    <row r="40">
      <c r="A40" s="9" t="n">
        <v>38</v>
      </c>
      <c r="B40" s="10" t="inlineStr">
        <is>
          <t>VI / FIG-16c</t>
        </is>
      </c>
      <c r="C40" s="11" t="inlineStr">
        <is>
          <t>Domestic value-added in exports</t>
        </is>
      </c>
      <c r="D40" s="9" t="inlineStr">
        <is>
          <t>%</t>
        </is>
      </c>
      <c r="E40" s="10" t="inlineStr">
        <is>
          <t>latest available</t>
        </is>
      </c>
      <c r="F40" s="10" t="inlineStr">
        <is>
          <t>OECD TiVA</t>
        </is>
      </c>
      <c r="G40" s="12" t="n"/>
      <c r="H40" s="9" t="inlineStr">
        <is>
          <t>HIGH</t>
        </is>
      </c>
      <c r="I40" s="13" t="inlineStr">
        <is>
          <t>TODO</t>
        </is>
      </c>
      <c r="J40" s="14" t="inlineStr">
        <is>
          <t>not shown — FIND (≠ LIR)</t>
        </is>
      </c>
      <c r="K40" s="12" t="n"/>
    </row>
    <row r="41">
      <c r="A41" s="9" t="n">
        <v>39</v>
      </c>
      <c r="B41" s="10" t="inlineStr">
        <is>
          <t>VI</t>
        </is>
      </c>
      <c r="C41" s="11" t="inlineStr">
        <is>
          <t>Local integration rate (LIR) auto / aero</t>
        </is>
      </c>
      <c r="D41" s="9" t="inlineStr">
        <is>
          <t>%</t>
        </is>
      </c>
      <c r="E41" s="10" t="inlineStr">
        <is>
          <t>current</t>
        </is>
      </c>
      <c r="F41" s="10" t="inlineStr">
        <is>
          <t>AMICA / Min. Industry</t>
        </is>
      </c>
      <c r="G41" s="12" t="n"/>
      <c r="H41" s="9" t="inlineStr">
        <is>
          <t>MED</t>
        </is>
      </c>
      <c r="I41" s="13" t="inlineStr">
        <is>
          <t>TODO</t>
        </is>
      </c>
      <c r="J41" s="14" t="inlineStr">
        <is>
          <t>auto &gt;65 ; aero &gt;40 (target vs achieved?)</t>
        </is>
      </c>
      <c r="K41" s="12" t="n"/>
    </row>
    <row r="42">
      <c r="A42" s="9" t="n">
        <v>40</v>
      </c>
      <c r="B42" s="10" t="inlineStr">
        <is>
          <t>VI</t>
        </is>
      </c>
      <c r="C42" s="11" t="inlineStr">
        <is>
          <t>Aerospace employment / firms</t>
        </is>
      </c>
      <c r="D42" s="9" t="inlineStr">
        <is>
          <t>persons / count</t>
        </is>
      </c>
      <c r="E42" s="10" t="inlineStr">
        <is>
          <t>2024-2025</t>
        </is>
      </c>
      <c r="F42" s="10" t="inlineStr">
        <is>
          <t>GIMAS</t>
        </is>
      </c>
      <c r="G42" s="12" t="n"/>
      <c r="H42" s="9" t="inlineStr">
        <is>
          <t>MED</t>
        </is>
      </c>
      <c r="I42" s="13" t="inlineStr">
        <is>
          <t>TODO</t>
        </is>
      </c>
      <c r="J42" s="14" t="inlineStr">
        <is>
          <t>~150 firms ; 23,000-26,000 jobs</t>
        </is>
      </c>
      <c r="K42" s="12" t="n"/>
    </row>
    <row r="43">
      <c r="A43" s="9" t="n">
        <v>41</v>
      </c>
      <c r="B43" s="10" t="inlineStr">
        <is>
          <t>VI</t>
        </is>
      </c>
      <c r="C43" s="11" t="inlineStr">
        <is>
          <t>R&amp;D expenditure</t>
        </is>
      </c>
      <c r="D43" s="9" t="inlineStr">
        <is>
          <t>% of GDP</t>
        </is>
      </c>
      <c r="E43" s="10" t="inlineStr">
        <is>
          <t>latest</t>
        </is>
      </c>
      <c r="F43" s="10" t="inlineStr">
        <is>
          <t>UNESCO UIS</t>
        </is>
      </c>
      <c r="G43" s="12" t="n"/>
      <c r="H43" s="9" t="inlineStr">
        <is>
          <t>LOW</t>
        </is>
      </c>
      <c r="I43" s="13" t="inlineStr">
        <is>
          <t>TODO</t>
        </is>
      </c>
      <c r="J43" s="14" t="inlineStr">
        <is>
          <t>not shown — FIND</t>
        </is>
      </c>
      <c r="K43" s="12" t="n"/>
    </row>
    <row r="44">
      <c r="A44" s="9" t="n">
        <v>42</v>
      </c>
      <c r="B44" s="10" t="inlineStr">
        <is>
          <t>VII / FIG-17</t>
        </is>
      </c>
      <c r="C44" s="11" t="inlineStr">
        <is>
          <t>Chinese FDI projects in Morocco</t>
        </is>
      </c>
      <c r="D44" s="9" t="inlineStr">
        <is>
          <t>USD m by firm</t>
        </is>
      </c>
      <c r="E44" s="10" t="inlineStr">
        <is>
          <t>2023 → 2025</t>
        </is>
      </c>
      <c r="F44" s="10" t="inlineStr">
        <is>
          <t>press / company announcements</t>
        </is>
      </c>
      <c r="G44" s="12" t="n"/>
      <c r="H44" s="9" t="inlineStr">
        <is>
          <t>HIGH</t>
        </is>
      </c>
      <c r="I44" s="13" t="inlineStr">
        <is>
          <t>TODO</t>
        </is>
      </c>
      <c r="J44" s="14" t="inlineStr">
        <is>
          <t>~$6bn total; Gotion 1.3bn; Shinzoom 690m; BTR 300m; APG 70m</t>
        </is>
      </c>
      <c r="K44" s="12" t="n"/>
    </row>
    <row r="45">
      <c r="A45" s="9" t="n">
        <v>43</v>
      </c>
      <c r="B45" s="10" t="inlineStr">
        <is>
          <t>VII / FIG-18</t>
        </is>
      </c>
      <c r="C45" s="11" t="inlineStr">
        <is>
          <t>EU duties on MA aluminium wheels</t>
        </is>
      </c>
      <c r="D45" s="9" t="inlineStr">
        <is>
          <t>%</t>
        </is>
      </c>
      <c r="E45" s="10" t="inlineStr">
        <is>
          <t>2023 &amp; 2025</t>
        </is>
      </c>
      <c r="F45" s="10" t="inlineStr">
        <is>
          <t>EU Reg. 2025/500</t>
        </is>
      </c>
      <c r="G45" s="12" t="n"/>
      <c r="H45" s="9" t="inlineStr">
        <is>
          <t>HIGH</t>
        </is>
      </c>
      <c r="I45" s="13" t="inlineStr">
        <is>
          <t>TODO</t>
        </is>
      </c>
      <c r="J45" s="14" t="inlineStr">
        <is>
          <t>Dika 31.45 ; Hands 5.60 ; AD 9-17.5</t>
        </is>
      </c>
      <c r="K45" s="12" t="n"/>
    </row>
    <row r="46">
      <c r="A46" s="9" t="n">
        <v>44</v>
      </c>
      <c r="B46" s="10" t="inlineStr">
        <is>
          <t>VIII / FIG-19</t>
        </is>
      </c>
      <c r="C46" s="11" t="inlineStr">
        <is>
          <t>Morocco vs South Africa scorecard</t>
        </is>
      </c>
      <c r="D46" s="9" t="inlineStr">
        <is>
          <t>mixed</t>
        </is>
      </c>
      <c r="E46" s="10" t="inlineStr">
        <is>
          <t>2025</t>
        </is>
      </c>
      <c r="F46" s="10" t="inlineStr">
        <is>
          <t>S&amp;P/IMF/SARB/HCP</t>
        </is>
      </c>
      <c r="G46" s="12" t="n"/>
      <c r="H46" s="9" t="inlineStr">
        <is>
          <t>HIGH</t>
        </is>
      </c>
      <c r="I46" s="13" t="inlineStr">
        <is>
          <t>TODO</t>
        </is>
      </c>
      <c r="J46" s="14" t="inlineStr">
        <is>
          <t>see scorecard sheet</t>
        </is>
      </c>
      <c r="K46" s="12" t="n"/>
    </row>
    <row r="47">
      <c r="A47" s="9" t="n">
        <v>45</v>
      </c>
      <c r="B47" s="10" t="inlineStr">
        <is>
          <t>VIII / FIG-19</t>
        </is>
      </c>
      <c r="C47" s="11" t="inlineStr">
        <is>
          <t>South Africa load-shedding days</t>
        </is>
      </c>
      <c r="D47" s="9" t="inlineStr">
        <is>
          <t>days/yr</t>
        </is>
      </c>
      <c r="E47" s="10" t="inlineStr">
        <is>
          <t>2022 &amp; 2023</t>
        </is>
      </c>
      <c r="F47" s="10" t="inlineStr">
        <is>
          <t>SARB / Eskom</t>
        </is>
      </c>
      <c r="G47" s="12" t="n"/>
      <c r="H47" s="9" t="inlineStr">
        <is>
          <t>MED</t>
        </is>
      </c>
      <c r="I47" s="13" t="inlineStr">
        <is>
          <t>TODO</t>
        </is>
      </c>
      <c r="J47" s="14" t="inlineStr">
        <is>
          <t>2022 205 ; 2023 335</t>
        </is>
      </c>
      <c r="K47" s="12" t="n"/>
    </row>
    <row r="48">
      <c r="A48" s="9" t="n">
        <v>46</v>
      </c>
      <c r="B48" s="10" t="inlineStr">
        <is>
          <t>VIII / FIG-20</t>
        </is>
      </c>
      <c r="C48" s="11" t="inlineStr">
        <is>
          <t>AfDB Africa Industrialisation Index</t>
        </is>
      </c>
      <c r="D48" s="9" t="inlineStr">
        <is>
          <t>score</t>
        </is>
      </c>
      <c r="E48" s="10" t="inlineStr">
        <is>
          <t>2025</t>
        </is>
      </c>
      <c r="F48" s="10" t="inlineStr">
        <is>
          <t>AfDB</t>
        </is>
      </c>
      <c r="G48" s="12" t="n"/>
      <c r="H48" s="9" t="inlineStr">
        <is>
          <t>HIGH</t>
        </is>
      </c>
      <c r="I48" s="13" t="inlineStr">
        <is>
          <t>TODO</t>
        </is>
      </c>
      <c r="J48" s="14" t="inlineStr">
        <is>
          <t>MA 0.8415 ; SA 0.8396</t>
        </is>
      </c>
      <c r="K48" s="12" t="n"/>
    </row>
    <row r="49">
      <c r="A49" s="9" t="n">
        <v>47</v>
      </c>
      <c r="B49" s="10" t="inlineStr">
        <is>
          <t>IX / FIG-21</t>
        </is>
      </c>
      <c r="C49" s="11" t="inlineStr">
        <is>
          <t>Youth unemployment</t>
        </is>
      </c>
      <c r="D49" s="9" t="inlineStr">
        <is>
          <t>%</t>
        </is>
      </c>
      <c r="E49" s="10" t="inlineStr">
        <is>
          <t>Q1-2025</t>
        </is>
      </c>
      <c r="F49" s="10" t="inlineStr">
        <is>
          <t>HCP</t>
        </is>
      </c>
      <c r="G49" s="12" t="n"/>
      <c r="H49" s="9" t="inlineStr">
        <is>
          <t>HIGH</t>
        </is>
      </c>
      <c r="I49" s="13" t="inlineStr">
        <is>
          <t>TODO</t>
        </is>
      </c>
      <c r="J49" s="14" t="inlineStr">
        <is>
          <t>37.7</t>
        </is>
      </c>
      <c r="K49" s="12" t="n"/>
    </row>
    <row r="50">
      <c r="A50" s="9" t="n">
        <v>48</v>
      </c>
      <c r="B50" s="10" t="inlineStr">
        <is>
          <t>IX</t>
        </is>
      </c>
      <c r="C50" s="11" t="inlineStr">
        <is>
          <t>NEET rate (youth)</t>
        </is>
      </c>
      <c r="D50" s="9" t="inlineStr">
        <is>
          <t>%</t>
        </is>
      </c>
      <c r="E50" s="10" t="inlineStr">
        <is>
          <t>2025</t>
        </is>
      </c>
      <c r="F50" s="10" t="inlineStr">
        <is>
          <t>HCP</t>
        </is>
      </c>
      <c r="G50" s="12" t="n"/>
      <c r="H50" s="9" t="inlineStr">
        <is>
          <t>MED</t>
        </is>
      </c>
      <c r="I50" s="13" t="inlineStr">
        <is>
          <t>TODO</t>
        </is>
      </c>
      <c r="J50" s="14" t="inlineStr">
        <is>
          <t>~1 in 3</t>
        </is>
      </c>
      <c r="K50" s="12" t="n"/>
    </row>
    <row r="51">
      <c r="A51" s="9" t="n">
        <v>49</v>
      </c>
      <c r="B51" s="10" t="inlineStr">
        <is>
          <t>IX</t>
        </is>
      </c>
      <c r="C51" s="11" t="inlineStr">
        <is>
          <t>Female labour-force participation</t>
        </is>
      </c>
      <c r="D51" s="9" t="inlineStr">
        <is>
          <t>%</t>
        </is>
      </c>
      <c r="E51" s="10" t="inlineStr">
        <is>
          <t>2015 → 2025</t>
        </is>
      </c>
      <c r="F51" s="10" t="inlineStr">
        <is>
          <t>HCP / World Bank</t>
        </is>
      </c>
      <c r="G51" s="12" t="n"/>
      <c r="H51" s="9" t="inlineStr">
        <is>
          <t>HIGH</t>
        </is>
      </c>
      <c r="I51" s="13" t="inlineStr">
        <is>
          <t>TODO</t>
        </is>
      </c>
      <c r="J51" s="14" t="inlineStr">
        <is>
          <t>~19% (PLACEHOLDER [X]) — FIND exact</t>
        </is>
      </c>
      <c r="K51" s="12" t="n"/>
    </row>
    <row r="52">
      <c r="A52" s="9" t="n">
        <v>50</v>
      </c>
      <c r="B52" s="10" t="inlineStr">
        <is>
          <t>IX / FIG-22</t>
        </is>
      </c>
      <c r="C52" s="11" t="inlineStr">
        <is>
          <t>Renewable freshwater per capita</t>
        </is>
      </c>
      <c r="D52" s="9" t="inlineStr">
        <is>
          <t>m3/yr</t>
        </is>
      </c>
      <c r="E52" s="10" t="inlineStr">
        <is>
          <t>1960 → 2025</t>
        </is>
      </c>
      <c r="F52" s="10" t="inlineStr">
        <is>
          <t>FAO AQUASTAT</t>
        </is>
      </c>
      <c r="G52" s="12" t="n"/>
      <c r="H52" s="9" t="inlineStr">
        <is>
          <t>HIGH</t>
        </is>
      </c>
      <c r="I52" s="13" t="inlineStr">
        <is>
          <t>TODO</t>
        </is>
      </c>
      <c r="J52" s="14" t="inlineStr">
        <is>
          <t>2500 (1960s) → &lt;500 (today); threshold 1000</t>
        </is>
      </c>
      <c r="K52" s="12" t="n"/>
    </row>
    <row r="53">
      <c r="A53" s="9" t="n">
        <v>51</v>
      </c>
      <c r="B53" s="10" t="inlineStr">
        <is>
          <t>IX / TEXT-17</t>
        </is>
      </c>
      <c r="C53" s="11" t="inlineStr">
        <is>
          <t>Public debt: domestic vs external split</t>
        </is>
      </c>
      <c r="D53" s="9" t="inlineStr">
        <is>
          <t>% / share</t>
        </is>
      </c>
      <c r="E53" s="10" t="inlineStr">
        <is>
          <t>2025</t>
        </is>
      </c>
      <c r="F53" s="10" t="inlineStr">
        <is>
          <t>IMF Art.IV</t>
        </is>
      </c>
      <c r="G53" s="12" t="n"/>
      <c r="H53" s="9" t="inlineStr">
        <is>
          <t>HIGH</t>
        </is>
      </c>
      <c r="I53" s="13" t="inlineStr">
        <is>
          <t>TODO</t>
        </is>
      </c>
      <c r="J53" s="14" t="inlineStr">
        <is>
          <t>'majority domestic, dirham' — GET exact</t>
        </is>
      </c>
      <c r="K53" s="12" t="n"/>
    </row>
    <row r="54">
      <c r="A54" s="9" t="n">
        <v>52</v>
      </c>
      <c r="B54" s="10" t="inlineStr">
        <is>
          <t>IX / TEXT-17</t>
        </is>
      </c>
      <c r="C54" s="11" t="inlineStr">
        <is>
          <t>FX-denominated debt share</t>
        </is>
      </c>
      <c r="D54" s="9" t="inlineStr">
        <is>
          <t>%</t>
        </is>
      </c>
      <c r="E54" s="10" t="inlineStr">
        <is>
          <t>2025</t>
        </is>
      </c>
      <c r="F54" s="10" t="inlineStr">
        <is>
          <t>IMF Art.IV</t>
        </is>
      </c>
      <c r="G54" s="12" t="n"/>
      <c r="H54" s="9" t="inlineStr">
        <is>
          <t>HIGH</t>
        </is>
      </c>
      <c r="I54" s="13" t="inlineStr">
        <is>
          <t>TODO</t>
        </is>
      </c>
      <c r="J54" s="14" t="inlineStr">
        <is>
          <t>FIND</t>
        </is>
      </c>
      <c r="K54" s="12" t="n"/>
    </row>
    <row r="55">
      <c r="A55" s="9" t="n">
        <v>53</v>
      </c>
      <c r="B55" s="10" t="inlineStr">
        <is>
          <t>IX / TEXT-17</t>
        </is>
      </c>
      <c r="C55" s="11" t="inlineStr">
        <is>
          <t>Debt service ratio</t>
        </is>
      </c>
      <c r="D55" s="9" t="inlineStr">
        <is>
          <t>% of revenue/exports</t>
        </is>
      </c>
      <c r="E55" s="10" t="inlineStr">
        <is>
          <t>2025</t>
        </is>
      </c>
      <c r="F55" s="10" t="inlineStr">
        <is>
          <t>IMF Art.IV</t>
        </is>
      </c>
      <c r="G55" s="12" t="n"/>
      <c r="H55" s="9" t="inlineStr">
        <is>
          <t>MED</t>
        </is>
      </c>
      <c r="I55" s="13" t="inlineStr">
        <is>
          <t>TODO</t>
        </is>
      </c>
      <c r="J55" s="14" t="inlineStr">
        <is>
          <t>FIND</t>
        </is>
      </c>
      <c r="K55" s="12" t="n"/>
    </row>
  </sheetData>
  <mergeCells count="1">
    <mergeCell ref="A1:K1"/>
  </mergeCells>
  <conditionalFormatting sqref="H3:H55">
    <cfRule type="cellIs" priority="1" operator="equal" dxfId="0">
      <formula>"HIGH"</formula>
    </cfRule>
  </conditionalFormatting>
  <conditionalFormatting sqref="I3:I55">
    <cfRule type="cellIs" priority="2" operator="equal" dxfId="1">
      <formula>"DONE"</formula>
    </cfRule>
    <cfRule type="cellIs" priority="3" operator="equal" dxfId="0">
      <formula>"RECONCILE"</formula>
    </cfRule>
  </conditionalFormatting>
  <dataValidations count="2">
    <dataValidation sqref="H3 H4 H5 H6 H7 H8 H9 H10 H11 H12 H13 H14 H15 H16 H17 H18 H19 H20 H21 H22 H23 H24 H25 H26 H27 H28 H29 H30 H31 H32 H33 H34 H35 H36 H37 H38 H39 H40 H41 H42 H43 H44 H45 H46 H47 H48 H49 H50 H51 H52 H53 H54 H55" showDropDown="0" showInputMessage="0" showErrorMessage="0" allowBlank="1" type="list">
      <formula1>"HIGH,MED,LOW"</formula1>
    </dataValidation>
    <dataValidation sqref="I3 I4 I5 I6 I7 I8 I9 I10 I11 I12 I13 I14 I15 I16 I17 I18 I19 I20 I21 I22 I23 I24 I25 I26 I27 I28 I29 I30 I31 I32 I33 I34 I35 I36 I37 I38 I39 I40 I41 I42 I43 I44 I45 I46 I47 I48 I49 I50 I51 I52 I53 I54 I55" showDropDown="0" showInputMessage="0" showErrorMessage="0" allowBlank="1" type="list">
      <formula1>"TODO,IN PROGRESS,DONE,RECONCILE"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34" customWidth="1" min="1" max="1"/>
    <col width="12"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s>
  <sheetData>
    <row r="1" ht="20" customHeight="1">
      <c r="A1" s="1" t="inlineStr">
        <is>
          <t>SAVINGS–INVESTMENT IDENTITY   (S − I = X − M  ⇒  gap = I − S = −(X−M))</t>
        </is>
      </c>
    </row>
    <row r="2">
      <c r="A2" s="8" t="inlineStr">
        <is>
          <t>Indicator</t>
        </is>
      </c>
      <c r="B2" s="8" t="inlineStr">
        <is>
          <t>Unit</t>
        </is>
      </c>
      <c r="C2" s="8" t="inlineStr">
        <is>
          <t>Q1-23</t>
        </is>
      </c>
      <c r="D2" s="8" t="inlineStr">
        <is>
          <t>Q2-23</t>
        </is>
      </c>
      <c r="E2" s="8" t="inlineStr">
        <is>
          <t>Q3-23</t>
        </is>
      </c>
      <c r="F2" s="8" t="inlineStr">
        <is>
          <t>Q4-23</t>
        </is>
      </c>
      <c r="G2" s="8" t="inlineStr">
        <is>
          <t>Q1-24</t>
        </is>
      </c>
      <c r="H2" s="8" t="inlineStr">
        <is>
          <t>Q2-24</t>
        </is>
      </c>
      <c r="I2" s="8" t="inlineStr">
        <is>
          <t>Q3-24</t>
        </is>
      </c>
      <c r="J2" s="8" t="inlineStr">
        <is>
          <t>Q4-24</t>
        </is>
      </c>
      <c r="K2" s="8" t="inlineStr">
        <is>
          <t>Q1-25</t>
        </is>
      </c>
      <c r="L2" s="8" t="inlineStr">
        <is>
          <t>Q2-25</t>
        </is>
      </c>
      <c r="M2" s="8" t="inlineStr">
        <is>
          <t>Q3-25</t>
        </is>
      </c>
      <c r="N2" s="8" t="inlineStr">
        <is>
          <t>Q4-25</t>
        </is>
      </c>
    </row>
    <row r="3">
      <c r="A3" s="15" t="inlineStr">
        <is>
          <t>National savings (S)</t>
        </is>
      </c>
      <c r="B3" s="9" t="inlineStr">
        <is>
          <t>% GDP</t>
        </is>
      </c>
      <c r="C3" s="13" t="n"/>
      <c r="D3" s="13" t="n"/>
      <c r="E3" s="13" t="n"/>
      <c r="F3" s="13" t="n"/>
      <c r="G3" s="13" t="n"/>
      <c r="H3" s="13" t="n"/>
      <c r="I3" s="13" t="n"/>
      <c r="J3" s="13" t="n"/>
      <c r="K3" s="13" t="n"/>
      <c r="L3" s="13" t="n"/>
      <c r="M3" s="13" t="n"/>
      <c r="N3" s="13" t="n"/>
    </row>
    <row r="4">
      <c r="A4" s="15" t="inlineStr">
        <is>
          <t>Gross investment (I)</t>
        </is>
      </c>
      <c r="B4" s="9" t="inlineStr">
        <is>
          <t>% GDP</t>
        </is>
      </c>
      <c r="C4" s="13" t="n"/>
      <c r="D4" s="13" t="n"/>
      <c r="E4" s="13" t="n"/>
      <c r="F4" s="13" t="n"/>
      <c r="G4" s="13" t="n"/>
      <c r="H4" s="13" t="n"/>
      <c r="I4" s="13" t="n"/>
      <c r="J4" s="13" t="n"/>
      <c r="K4" s="13" t="n"/>
      <c r="L4" s="13" t="n"/>
      <c r="M4" s="13" t="n"/>
      <c r="N4" s="13" t="n"/>
    </row>
    <row r="5">
      <c r="A5" s="15" t="inlineStr">
        <is>
          <t>Financing gap (I − S)</t>
        </is>
      </c>
      <c r="B5" s="9" t="inlineStr">
        <is>
          <t>% GDP</t>
        </is>
      </c>
      <c r="C5" s="16">
        <f>IF(COUNT(C4,C3)=2,C4-C3,"")</f>
        <v/>
      </c>
      <c r="D5" s="16">
        <f>IF(COUNT(D4,D3)=2,D4-D3,"")</f>
        <v/>
      </c>
      <c r="E5" s="16">
        <f>IF(COUNT(E4,E3)=2,E4-E3,"")</f>
        <v/>
      </c>
      <c r="F5" s="16">
        <f>IF(COUNT(F4,F3)=2,F4-F3,"")</f>
        <v/>
      </c>
      <c r="G5" s="16">
        <f>IF(COUNT(G4,G3)=2,G4-G3,"")</f>
        <v/>
      </c>
      <c r="H5" s="16">
        <f>IF(COUNT(H4,H3)=2,H4-H3,"")</f>
        <v/>
      </c>
      <c r="I5" s="16">
        <f>IF(COUNT(I4,I3)=2,I4-I3,"")</f>
        <v/>
      </c>
      <c r="J5" s="16">
        <f>IF(COUNT(J4,J3)=2,J4-J3,"")</f>
        <v/>
      </c>
      <c r="K5" s="16">
        <f>IF(COUNT(K4,K3)=2,K4-K3,"")</f>
        <v/>
      </c>
      <c r="L5" s="16">
        <f>IF(COUNT(L4,L3)=2,L4-L3,"")</f>
        <v/>
      </c>
      <c r="M5" s="16">
        <f>IF(COUNT(M4,M3)=2,M4-M3,"")</f>
        <v/>
      </c>
      <c r="N5" s="16">
        <f>IF(COUNT(N4,N3)=2,N4-N3,"")</f>
        <v/>
      </c>
    </row>
    <row r="6">
      <c r="A6" s="15" t="inlineStr">
        <is>
          <t>Net exports proxy (X − M)</t>
        </is>
      </c>
      <c r="B6" s="9" t="inlineStr">
        <is>
          <t>% GDP</t>
        </is>
      </c>
      <c r="C6" s="13" t="n"/>
      <c r="D6" s="13" t="n"/>
      <c r="E6" s="13" t="n"/>
      <c r="F6" s="13" t="n"/>
      <c r="G6" s="13" t="n"/>
      <c r="H6" s="13" t="n"/>
      <c r="I6" s="13" t="n"/>
      <c r="J6" s="13" t="n"/>
      <c r="K6" s="13" t="n"/>
      <c r="L6" s="13" t="n"/>
      <c r="M6" s="13" t="n"/>
      <c r="N6" s="13" t="n"/>
    </row>
    <row r="7">
      <c r="A7" s="15" t="inlineStr">
        <is>
          <t>CHECK: (I−S) ≈ −(X−M)?</t>
        </is>
      </c>
      <c r="B7" s="9" t="inlineStr">
        <is>
          <t>flag</t>
        </is>
      </c>
      <c r="C7" s="16">
        <f>IF(COUNT(C5,C6)&lt;2,"",IF(ABS(C5-(-C6))&lt;=0.5,"OK","CHECK"))</f>
        <v/>
      </c>
      <c r="D7" s="16">
        <f>IF(COUNT(D5,D6)&lt;2,"",IF(ABS(D5-(-D6))&lt;=0.5,"OK","CHECK"))</f>
        <v/>
      </c>
      <c r="E7" s="16">
        <f>IF(COUNT(E5,E6)&lt;2,"",IF(ABS(E5-(-E6))&lt;=0.5,"OK","CHECK"))</f>
        <v/>
      </c>
      <c r="F7" s="16">
        <f>IF(COUNT(F5,F6)&lt;2,"",IF(ABS(F5-(-F6))&lt;=0.5,"OK","CHECK"))</f>
        <v/>
      </c>
      <c r="G7" s="16">
        <f>IF(COUNT(G5,G6)&lt;2,"",IF(ABS(G5-(-G6))&lt;=0.5,"OK","CHECK"))</f>
        <v/>
      </c>
      <c r="H7" s="16">
        <f>IF(COUNT(H5,H6)&lt;2,"",IF(ABS(H5-(-H6))&lt;=0.5,"OK","CHECK"))</f>
        <v/>
      </c>
      <c r="I7" s="16">
        <f>IF(COUNT(I5,I6)&lt;2,"",IF(ABS(I5-(-I6))&lt;=0.5,"OK","CHECK"))</f>
        <v/>
      </c>
      <c r="J7" s="16">
        <f>IF(COUNT(J5,J6)&lt;2,"",IF(ABS(J5-(-J6))&lt;=0.5,"OK","CHECK"))</f>
        <v/>
      </c>
      <c r="K7" s="16">
        <f>IF(COUNT(K5,K6)&lt;2,"",IF(ABS(K5-(-K6))&lt;=0.5,"OK","CHECK"))</f>
        <v/>
      </c>
      <c r="L7" s="16">
        <f>IF(COUNT(L5,L6)&lt;2,"",IF(ABS(L5-(-L6))&lt;=0.5,"OK","CHECK"))</f>
        <v/>
      </c>
      <c r="M7" s="16">
        <f>IF(COUNT(M5,M6)&lt;2,"",IF(ABS(M5-(-M6))&lt;=0.5,"OK","CHECK"))</f>
        <v/>
      </c>
      <c r="N7" s="16">
        <f>IF(COUNT(N5,N6)&lt;2,"",IF(ABS(N5-(-N6))&lt;=0.5,"OK","CHECK"))</f>
        <v/>
      </c>
    </row>
    <row r="9">
      <c r="A9" s="17" t="inlineStr">
        <is>
          <t>NOTE: Fill S, I, and (X−M) from HCP quarterly national accounts. The gap auto-computes. The CHECK row flags if the accounting identity breaks by &gt;0.5pp — usually a transcription error or a 'net income/transfers' term you've omitted. Reconcile Q3 (paper says 2.9%) vs Q4 (2.6%). Decide ONE headline series for the text.</t>
        </is>
      </c>
    </row>
    <row r="10"/>
    <row r="11"/>
  </sheetData>
  <mergeCells count="2">
    <mergeCell ref="A9:N11"/>
    <mergeCell ref="A1:N1"/>
  </mergeCells>
  <conditionalFormatting sqref="C7:N7">
    <cfRule type="cellIs" priority="1" operator="equal" dxfId="2">
      <formula>"OK"</formula>
    </cfRule>
    <cfRule type="cellIs" priority="2" operator="equal" dxfId="3">
      <formula>"CHECK"</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34" customWidth="1" min="1" max="1"/>
    <col width="12" customWidth="1" min="2" max="2"/>
    <col width="11" customWidth="1" min="3" max="3"/>
    <col width="11" customWidth="1" min="4" max="4"/>
    <col width="11" customWidth="1" min="5" max="5"/>
    <col width="11" customWidth="1" min="6" max="6"/>
    <col width="11" customWidth="1" min="7" max="7"/>
  </cols>
  <sheetData>
    <row r="1" ht="20" customHeight="1">
      <c r="A1" s="1" t="inlineStr">
        <is>
          <t>PUBLIC REVENUE &amp; THE CORPORATE-TAX SIGNAL  (fixes the amnesty error)</t>
        </is>
      </c>
    </row>
    <row r="2">
      <c r="A2" s="8" t="inlineStr">
        <is>
          <t>Indicator</t>
        </is>
      </c>
      <c r="B2" s="8" t="inlineStr">
        <is>
          <t>Unit</t>
        </is>
      </c>
      <c r="C2" s="8" t="inlineStr">
        <is>
          <t>2021</t>
        </is>
      </c>
      <c r="D2" s="8" t="inlineStr">
        <is>
          <t>2022</t>
        </is>
      </c>
      <c r="E2" s="8" t="inlineStr">
        <is>
          <t>2023</t>
        </is>
      </c>
      <c r="F2" s="8" t="inlineStr">
        <is>
          <t>2024</t>
        </is>
      </c>
      <c r="G2" s="8" t="inlineStr">
        <is>
          <t>2025</t>
        </is>
      </c>
    </row>
    <row r="3">
      <c r="A3" s="15" t="inlineStr">
        <is>
          <t>Total net public revenue</t>
        </is>
      </c>
      <c r="B3" s="9" t="inlineStr">
        <is>
          <t>MAD bn</t>
        </is>
      </c>
      <c r="C3" s="13" t="n"/>
      <c r="D3" s="13" t="n"/>
      <c r="E3" s="13" t="n"/>
      <c r="F3" s="13" t="n"/>
      <c r="G3" s="13" t="n"/>
    </row>
    <row r="4">
      <c r="A4" s="15" t="inlineStr">
        <is>
          <t>Tax revenue</t>
        </is>
      </c>
      <c r="B4" s="9" t="inlineStr">
        <is>
          <t>MAD bn</t>
        </is>
      </c>
      <c r="C4" s="13" t="n"/>
      <c r="D4" s="13" t="n"/>
      <c r="E4" s="13" t="n"/>
      <c r="F4" s="13" t="n"/>
      <c r="G4" s="13" t="n"/>
    </row>
    <row r="5">
      <c r="A5" s="15" t="inlineStr">
        <is>
          <t>CIT — TOTAL collected</t>
        </is>
      </c>
      <c r="B5" s="9" t="inlineStr">
        <is>
          <t>MAD bn</t>
        </is>
      </c>
      <c r="C5" s="13" t="n"/>
      <c r="D5" s="13" t="n"/>
      <c r="E5" s="13" t="n"/>
      <c r="F5" s="13" t="n"/>
      <c r="G5" s="13" t="n"/>
    </row>
    <row r="6">
      <c r="A6" s="15" t="inlineStr">
        <is>
          <t>CIT — one-off regularization</t>
        </is>
      </c>
      <c r="B6" s="9" t="inlineStr">
        <is>
          <t>MAD bn</t>
        </is>
      </c>
      <c r="C6" s="13" t="n"/>
      <c r="D6" s="13" t="n"/>
      <c r="E6" s="13" t="n"/>
      <c r="F6" s="13" t="n"/>
      <c r="G6" s="13" t="n"/>
    </row>
    <row r="7">
      <c r="A7" s="15" t="inlineStr">
        <is>
          <t>CIT — RECURRING (auto)</t>
        </is>
      </c>
      <c r="B7" s="9" t="inlineStr">
        <is>
          <t>MAD bn</t>
        </is>
      </c>
      <c r="C7" s="16">
        <f>IF(C5="","",C5-IF(C6="",0,C6))</f>
        <v/>
      </c>
      <c r="D7" s="16">
        <f>IF(D5="","",D5-IF(D6="",0,D6))</f>
        <v/>
      </c>
      <c r="E7" s="16">
        <f>IF(E5="","",E5-IF(E6="",0,E6))</f>
        <v/>
      </c>
      <c r="F7" s="16">
        <f>IF(F5="","",F5-IF(F6="",0,F6))</f>
        <v/>
      </c>
      <c r="G7" s="16">
        <f>IF(G5="","",G5-IF(G6="",0,G6))</f>
        <v/>
      </c>
    </row>
    <row r="8">
      <c r="A8" s="15" t="inlineStr">
        <is>
          <t>CIT recurring YoY change</t>
        </is>
      </c>
      <c r="B8" s="9" t="inlineStr">
        <is>
          <t>MAD bn</t>
        </is>
      </c>
      <c r="C8" s="16" t="n"/>
      <c r="D8" s="16">
        <f>IF(COUNT(D7,C7)=2,D7-C7,"")</f>
        <v/>
      </c>
      <c r="E8" s="16">
        <f>IF(COUNT(E7,D7)=2,E7-D7,"")</f>
        <v/>
      </c>
      <c r="F8" s="16">
        <f>IF(COUNT(F7,E7)=2,F7-E7,"")</f>
        <v/>
      </c>
      <c r="G8" s="16">
        <f>IF(COUNT(G7,F7)=2,G7-F7,"")</f>
        <v/>
      </c>
    </row>
    <row r="9">
      <c r="A9" s="15" t="inlineStr">
        <is>
          <t>CHECK: is the 28.6% jump mostly one-off?</t>
        </is>
      </c>
      <c r="B9" s="9" t="inlineStr">
        <is>
          <t>flag</t>
        </is>
      </c>
      <c r="C9" s="16" t="n"/>
      <c r="D9" s="16">
        <f>IF(D6="","",IF(D6&gt;ABS(D8),"YES one-off dominates","no"))</f>
        <v/>
      </c>
      <c r="E9" s="16">
        <f>IF(E6="","",IF(E6&gt;ABS(E8),"YES one-off dominates","no"))</f>
        <v/>
      </c>
      <c r="F9" s="16">
        <f>IF(F6="","",IF(F6&gt;ABS(F8),"YES one-off dominates","no"))</f>
        <v/>
      </c>
      <c r="G9" s="16">
        <f>IF(G6="","",IF(G6&gt;ABS(G8),"YES one-off dominates","no"))</f>
        <v/>
      </c>
    </row>
    <row r="11">
      <c r="A11" s="18" t="inlineStr">
        <is>
          <t>Total revenue CAGR 2021→2025 (auto)</t>
        </is>
      </c>
      <c r="C11" s="19">
        <f>IF(COUNT(C3,G3)=2,(G3/C3)^(1/4)-1,"")</f>
        <v/>
      </c>
      <c r="D11" s="20" t="inlineStr">
        <is>
          <t>← should be ≈ 12.4% (the durable signal that survives scrutiny)</t>
        </is>
      </c>
    </row>
    <row r="13">
      <c r="A13" s="17" t="inlineStr">
        <is>
          <t>NOTE: This sheet PROVES the fix. Enter CIT total and the MAD 20bn one-off; recurring CIT auto-reveals as ~flat. Lean the manuscript on the Total-Revenue CAGR (~12.4%), NOT the headline CIT jump. FIG-5 must show the one-off as a separate segment.</t>
        </is>
      </c>
    </row>
    <row r="14"/>
    <row r="15"/>
  </sheetData>
  <mergeCells count="2">
    <mergeCell ref="A1:G1"/>
    <mergeCell ref="A13:G15"/>
  </mergeCells>
  <conditionalFormatting sqref="C9:G9">
    <cfRule type="cellIs" priority="1" operator="containsText" dxfId="0">
      <formula>NOT(ISERROR(SEARCH("one-off",C9)))</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34" customWidth="1" min="1" max="1"/>
    <col width="12"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20" customHeight="1">
      <c r="A1" s="1" t="inlineStr">
        <is>
          <t>PUBLIC DEBT: LEVEL &amp; COMPOSITION</t>
        </is>
      </c>
    </row>
    <row r="2">
      <c r="A2" s="8" t="inlineStr">
        <is>
          <t>Indicator</t>
        </is>
      </c>
      <c r="B2" s="8" t="inlineStr">
        <is>
          <t>Unit</t>
        </is>
      </c>
      <c r="C2" s="8" t="inlineStr">
        <is>
          <t>2005</t>
        </is>
      </c>
      <c r="D2" s="8" t="inlineStr">
        <is>
          <t>2008</t>
        </is>
      </c>
      <c r="E2" s="8" t="inlineStr">
        <is>
          <t>2011</t>
        </is>
      </c>
      <c r="F2" s="8" t="inlineStr">
        <is>
          <t>2014</t>
        </is>
      </c>
      <c r="G2" s="8" t="inlineStr">
        <is>
          <t>2017</t>
        </is>
      </c>
      <c r="H2" s="8" t="inlineStr">
        <is>
          <t>2020</t>
        </is>
      </c>
      <c r="I2" s="8" t="inlineStr">
        <is>
          <t>2021</t>
        </is>
      </c>
      <c r="J2" s="8" t="inlineStr">
        <is>
          <t>2022</t>
        </is>
      </c>
      <c r="K2" s="8" t="inlineStr">
        <is>
          <t>2023</t>
        </is>
      </c>
      <c r="L2" s="8" t="inlineStr">
        <is>
          <t>2024</t>
        </is>
      </c>
      <c r="M2" s="8" t="inlineStr">
        <is>
          <t>2025</t>
        </is>
      </c>
    </row>
    <row r="3">
      <c r="A3" s="15" t="inlineStr">
        <is>
          <t>Public debt</t>
        </is>
      </c>
      <c r="B3" s="9" t="inlineStr">
        <is>
          <t>% GDP</t>
        </is>
      </c>
      <c r="C3" s="13" t="n"/>
      <c r="D3" s="13" t="n"/>
      <c r="E3" s="13" t="n"/>
      <c r="F3" s="13" t="n"/>
      <c r="G3" s="13" t="n"/>
      <c r="H3" s="13" t="n"/>
      <c r="I3" s="13" t="n"/>
      <c r="J3" s="13" t="n"/>
      <c r="K3" s="13" t="n"/>
      <c r="L3" s="13" t="n"/>
      <c r="M3" s="13" t="n"/>
    </row>
    <row r="4">
      <c r="A4" s="15" t="inlineStr">
        <is>
          <t>Domestic debt</t>
        </is>
      </c>
      <c r="B4" s="9" t="inlineStr">
        <is>
          <t>% GDP</t>
        </is>
      </c>
      <c r="C4" s="13" t="n"/>
      <c r="D4" s="13" t="n"/>
      <c r="E4" s="13" t="n"/>
      <c r="F4" s="13" t="n"/>
      <c r="G4" s="13" t="n"/>
      <c r="H4" s="13" t="n"/>
      <c r="I4" s="13" t="n"/>
      <c r="J4" s="13" t="n"/>
      <c r="K4" s="13" t="n"/>
      <c r="L4" s="13" t="n"/>
      <c r="M4" s="13" t="n"/>
    </row>
    <row r="5">
      <c r="A5" s="15" t="inlineStr">
        <is>
          <t>External debt</t>
        </is>
      </c>
      <c r="B5" s="9" t="inlineStr">
        <is>
          <t>% GDP</t>
        </is>
      </c>
      <c r="C5" s="13" t="n"/>
      <c r="D5" s="13" t="n"/>
      <c r="E5" s="13" t="n"/>
      <c r="F5" s="13" t="n"/>
      <c r="G5" s="13" t="n"/>
      <c r="H5" s="13" t="n"/>
      <c r="I5" s="13" t="n"/>
      <c r="J5" s="13" t="n"/>
      <c r="K5" s="13" t="n"/>
      <c r="L5" s="13" t="n"/>
      <c r="M5" s="13" t="n"/>
    </row>
    <row r="6">
      <c r="A6" s="15" t="inlineStr">
        <is>
          <t>CHECK: domestic + external = total?</t>
        </is>
      </c>
      <c r="B6" s="9" t="inlineStr">
        <is>
          <t>flag</t>
        </is>
      </c>
      <c r="C6" s="16">
        <f>IF(COUNT(C4,C5,C3)&lt;3,"",IF(ABS((C4+C5)-C3)&lt;=1,"OK","CHECK"))</f>
        <v/>
      </c>
      <c r="D6" s="16">
        <f>IF(COUNT(D4,D5,D3)&lt;3,"",IF(ABS((D4+D5)-D3)&lt;=1,"OK","CHECK"))</f>
        <v/>
      </c>
      <c r="E6" s="16">
        <f>IF(COUNT(E4,E5,E3)&lt;3,"",IF(ABS((E4+E5)-E3)&lt;=1,"OK","CHECK"))</f>
        <v/>
      </c>
      <c r="F6" s="16">
        <f>IF(COUNT(F4,F5,F3)&lt;3,"",IF(ABS((F4+F5)-F3)&lt;=1,"OK","CHECK"))</f>
        <v/>
      </c>
      <c r="G6" s="16">
        <f>IF(COUNT(G4,G5,G3)&lt;3,"",IF(ABS((G4+G5)-G3)&lt;=1,"OK","CHECK"))</f>
        <v/>
      </c>
      <c r="H6" s="16">
        <f>IF(COUNT(H4,H5,H3)&lt;3,"",IF(ABS((H4+H5)-H3)&lt;=1,"OK","CHECK"))</f>
        <v/>
      </c>
      <c r="I6" s="16">
        <f>IF(COUNT(I4,I5,I3)&lt;3,"",IF(ABS((I4+I5)-I3)&lt;=1,"OK","CHECK"))</f>
        <v/>
      </c>
      <c r="J6" s="16">
        <f>IF(COUNT(J4,J5,J3)&lt;3,"",IF(ABS((J4+J5)-J3)&lt;=1,"OK","CHECK"))</f>
        <v/>
      </c>
      <c r="K6" s="16">
        <f>IF(COUNT(K4,K5,K3)&lt;3,"",IF(ABS((K4+K5)-K3)&lt;=1,"OK","CHECK"))</f>
        <v/>
      </c>
      <c r="L6" s="16">
        <f>IF(COUNT(L4,L5,L3)&lt;3,"",IF(ABS((L4+L5)-L3)&lt;=1,"OK","CHECK"))</f>
        <v/>
      </c>
      <c r="M6" s="16">
        <f>IF(COUNT(M4,M5,M3)&lt;3,"",IF(ABS((M4+M5)-M3)&lt;=1,"OK","CHECK"))</f>
        <v/>
      </c>
    </row>
    <row r="7">
      <c r="A7" s="15" t="inlineStr">
        <is>
          <t>FX-denominated share of debt</t>
        </is>
      </c>
      <c r="B7" s="9" t="inlineStr">
        <is>
          <t>%</t>
        </is>
      </c>
      <c r="C7" s="13" t="n"/>
      <c r="D7" s="13" t="n"/>
      <c r="E7" s="13" t="n"/>
      <c r="F7" s="13" t="n"/>
      <c r="G7" s="13" t="n"/>
      <c r="H7" s="13" t="n"/>
      <c r="I7" s="13" t="n"/>
      <c r="J7" s="13" t="n"/>
      <c r="K7" s="13" t="n"/>
      <c r="L7" s="13" t="n"/>
      <c r="M7" s="13" t="n"/>
    </row>
    <row r="9">
      <c r="A9" s="17" t="inlineStr">
        <is>
          <t>NOTE: The TEXT-17 argument needs the domestic/external split + FX share (IMF Art.IV states these). Mark the 3 inflections for FIG-4: 2012 rise, 2021 peak ~72%, 2025 consolidation 67.2%.</t>
        </is>
      </c>
    </row>
    <row r="10"/>
  </sheetData>
  <mergeCells count="2">
    <mergeCell ref="A9:M10"/>
    <mergeCell ref="A1:M1"/>
  </mergeCells>
  <conditionalFormatting sqref="C6:M6">
    <cfRule type="cellIs" priority="1" operator="equal" dxfId="1">
      <formula>"OK"</formula>
    </cfRule>
    <cfRule type="cellIs" priority="2" operator="equal" dxfId="0">
      <formula>"CHECK"</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34" customWidth="1" min="1" max="1"/>
    <col width="12"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s>
  <sheetData>
    <row r="1" ht="20" customHeight="1">
      <c r="A1" s="1" t="inlineStr">
        <is>
          <t>EXTERNAL SECTOR: CURRENT ACCOUNT · REMITTANCES · FDI · RESERVES</t>
        </is>
      </c>
    </row>
    <row r="2">
      <c r="A2" s="8" t="inlineStr">
        <is>
          <t>Indicator</t>
        </is>
      </c>
      <c r="B2" s="8" t="inlineStr">
        <is>
          <t>Unit</t>
        </is>
      </c>
      <c r="C2" s="8" t="inlineStr">
        <is>
          <t>2018</t>
        </is>
      </c>
      <c r="D2" s="8" t="inlineStr">
        <is>
          <t>2019</t>
        </is>
      </c>
      <c r="E2" s="8" t="inlineStr">
        <is>
          <t>2020</t>
        </is>
      </c>
      <c r="F2" s="8" t="inlineStr">
        <is>
          <t>2021</t>
        </is>
      </c>
      <c r="G2" s="8" t="inlineStr">
        <is>
          <t>2022</t>
        </is>
      </c>
      <c r="H2" s="8" t="inlineStr">
        <is>
          <t>2023</t>
        </is>
      </c>
      <c r="I2" s="8" t="inlineStr">
        <is>
          <t>2024</t>
        </is>
      </c>
      <c r="J2" s="8" t="inlineStr">
        <is>
          <t>2025</t>
        </is>
      </c>
    </row>
    <row r="3">
      <c r="A3" s="15" t="inlineStr">
        <is>
          <t>Current account balance</t>
        </is>
      </c>
      <c r="B3" s="9" t="inlineStr">
        <is>
          <t>% GDP</t>
        </is>
      </c>
      <c r="C3" s="13" t="n"/>
      <c r="D3" s="13" t="n"/>
      <c r="E3" s="13" t="n"/>
      <c r="F3" s="13" t="n"/>
      <c r="G3" s="13" t="n"/>
      <c r="H3" s="13" t="n"/>
      <c r="I3" s="13" t="n"/>
      <c r="J3" s="13" t="n"/>
    </row>
    <row r="4">
      <c r="A4" s="15" t="inlineStr">
        <is>
          <t>Worker remittances (MRE)</t>
        </is>
      </c>
      <c r="B4" s="9" t="inlineStr">
        <is>
          <t>MAD bn</t>
        </is>
      </c>
      <c r="C4" s="13" t="n"/>
      <c r="D4" s="13" t="n"/>
      <c r="E4" s="13" t="n"/>
      <c r="F4" s="13" t="n"/>
      <c r="G4" s="13" t="n"/>
      <c r="H4" s="13" t="n"/>
      <c r="I4" s="13" t="n"/>
      <c r="J4" s="13" t="n"/>
    </row>
    <row r="5">
      <c r="A5" s="15" t="inlineStr">
        <is>
          <t>Worker remittances</t>
        </is>
      </c>
      <c r="B5" s="9" t="inlineStr">
        <is>
          <t>% GDP</t>
        </is>
      </c>
      <c r="C5" s="13" t="n"/>
      <c r="D5" s="13" t="n"/>
      <c r="E5" s="13" t="n"/>
      <c r="F5" s="13" t="n"/>
      <c r="G5" s="13" t="n"/>
      <c r="H5" s="13" t="n"/>
      <c r="I5" s="13" t="n"/>
      <c r="J5" s="13" t="n"/>
    </row>
    <row r="6">
      <c r="A6" s="15" t="inlineStr">
        <is>
          <t>Net FDI inflows</t>
        </is>
      </c>
      <c r="B6" s="9" t="inlineStr">
        <is>
          <t>MAD bn</t>
        </is>
      </c>
      <c r="C6" s="13" t="n"/>
      <c r="D6" s="13" t="n"/>
      <c r="E6" s="13" t="n"/>
      <c r="F6" s="13" t="n"/>
      <c r="G6" s="13" t="n"/>
      <c r="H6" s="13" t="n"/>
      <c r="I6" s="13" t="n"/>
      <c r="J6" s="13" t="n"/>
    </row>
    <row r="7">
      <c r="A7" s="15" t="inlineStr">
        <is>
          <t>FX reserves</t>
        </is>
      </c>
      <c r="B7" s="9" t="inlineStr">
        <is>
          <t>USD bn</t>
        </is>
      </c>
      <c r="C7" s="13" t="n"/>
      <c r="D7" s="13" t="n"/>
      <c r="E7" s="13" t="n"/>
      <c r="F7" s="13" t="n"/>
      <c r="G7" s="13" t="n"/>
      <c r="H7" s="13" t="n"/>
      <c r="I7" s="13" t="n"/>
      <c r="J7" s="13" t="n"/>
    </row>
    <row r="8">
      <c r="A8" s="15" t="inlineStr">
        <is>
          <t>Import cover</t>
        </is>
      </c>
      <c r="B8" s="9" t="inlineStr">
        <is>
          <t>months</t>
        </is>
      </c>
      <c r="C8" s="13" t="n"/>
      <c r="D8" s="13" t="n"/>
      <c r="E8" s="13" t="n"/>
      <c r="F8" s="13" t="n"/>
      <c r="G8" s="13" t="n"/>
      <c r="H8" s="13" t="n"/>
      <c r="I8" s="13" t="n"/>
      <c r="J8" s="13" t="n"/>
    </row>
    <row r="9">
      <c r="A9" s="15" t="inlineStr">
        <is>
          <t>CHECK: remittances % &gt; financing gap?</t>
        </is>
      </c>
      <c r="B9" s="9" t="inlineStr">
        <is>
          <t>flag</t>
        </is>
      </c>
      <c r="C9" s="16">
        <f>IF(C5="","",IF(C5&gt;2.6,"YES (stabilizer &gt; gap)","check"))</f>
        <v/>
      </c>
      <c r="D9" s="16">
        <f>IF(D5="","",IF(D5&gt;2.6,"YES (stabilizer &gt; gap)","check"))</f>
        <v/>
      </c>
      <c r="E9" s="16">
        <f>IF(E5="","",IF(E5&gt;2.6,"YES (stabilizer &gt; gap)","check"))</f>
        <v/>
      </c>
      <c r="F9" s="16">
        <f>IF(F5="","",IF(F5&gt;2.6,"YES (stabilizer &gt; gap)","check"))</f>
        <v/>
      </c>
      <c r="G9" s="16">
        <f>IF(G5="","",IF(G5&gt;2.6,"YES (stabilizer &gt; gap)","check"))</f>
        <v/>
      </c>
      <c r="H9" s="16">
        <f>IF(H5="","",IF(H5&gt;2.6,"YES (stabilizer &gt; gap)","check"))</f>
        <v/>
      </c>
      <c r="I9" s="16">
        <f>IF(I5="","",IF(I5&gt;2.6,"YES (stabilizer &gt; gap)","check"))</f>
        <v/>
      </c>
      <c r="J9" s="16">
        <f>IF(J5="","",IF(J5&gt;2.6,"YES (stabilizer &gt; gap)","check"))</f>
        <v/>
      </c>
    </row>
    <row r="11">
      <c r="A11" s="17" t="inlineStr">
        <is>
          <t>NOTE: This sheet feeds TEXT-7 + FIG-3b. The argument: remittances (~6-7% GDP) alone exceed the ~2.6% financing gap. Confirm the exact % to replace the [X] placeholder. FDI series feeds FIG-2 (also fill the source-country split on next sheet).</t>
        </is>
      </c>
    </row>
    <row r="12"/>
  </sheetData>
  <mergeCells count="2">
    <mergeCell ref="A1:J1"/>
    <mergeCell ref="A11:J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6" customWidth="1" min="2" max="2"/>
    <col width="16" customWidth="1" min="3" max="3"/>
    <col width="40" customWidth="1" min="4" max="4"/>
  </cols>
  <sheetData>
    <row r="1">
      <c r="A1" s="1" t="inlineStr">
        <is>
          <t>FDI BY SOURCE COUNTRY (latest full year) — feeds FIG-2</t>
        </is>
      </c>
    </row>
    <row r="2">
      <c r="A2" s="8" t="inlineStr">
        <is>
          <t>Source country/bloc</t>
        </is>
      </c>
      <c r="B2" s="8" t="inlineStr">
        <is>
          <t>MAD bn</t>
        </is>
      </c>
      <c r="C2" s="8" t="inlineStr">
        <is>
          <t>% of total</t>
        </is>
      </c>
      <c r="D2" s="8" t="inlineStr">
        <is>
          <t>Notes</t>
        </is>
      </c>
    </row>
    <row r="3">
      <c r="A3" s="21" t="inlineStr">
        <is>
          <t>European Union (total)</t>
        </is>
      </c>
      <c r="B3" s="22" t="n"/>
      <c r="C3" s="23">
        <f>IF($B$10=0,"",B3/$B$10)</f>
        <v/>
      </c>
      <c r="D3" s="22" t="n"/>
    </row>
    <row r="4">
      <c r="A4" s="21" t="inlineStr">
        <is>
          <t>France</t>
        </is>
      </c>
      <c r="B4" s="22" t="n"/>
      <c r="C4" s="23">
        <f>IF($B$10=0,"",B4/$B$10)</f>
        <v/>
      </c>
      <c r="D4" s="22" t="n"/>
    </row>
    <row r="5">
      <c r="A5" s="21" t="inlineStr">
        <is>
          <t>Spain</t>
        </is>
      </c>
      <c r="B5" s="22" t="n"/>
      <c r="C5" s="23">
        <f>IF($B$10=0,"",B5/$B$10)</f>
        <v/>
      </c>
      <c r="D5" s="22" t="n"/>
    </row>
    <row r="6">
      <c r="A6" s="21" t="inlineStr">
        <is>
          <t>Gulf (GCC) total</t>
        </is>
      </c>
      <c r="B6" s="22" t="n"/>
      <c r="C6" s="23">
        <f>IF($B$10=0,"",B6/$B$10)</f>
        <v/>
      </c>
      <c r="D6" s="22" t="n"/>
    </row>
    <row r="7">
      <c r="A7" s="21" t="inlineStr">
        <is>
          <t>United States</t>
        </is>
      </c>
      <c r="B7" s="22" t="n"/>
      <c r="C7" s="23">
        <f>IF($B$10=0,"",B7/$B$10)</f>
        <v/>
      </c>
      <c r="D7" s="22" t="n"/>
    </row>
    <row r="8">
      <c r="A8" s="21" t="inlineStr">
        <is>
          <t>China</t>
        </is>
      </c>
      <c r="B8" s="22" t="n"/>
      <c r="C8" s="23">
        <f>IF($B$10=0,"",B8/$B$10)</f>
        <v/>
      </c>
      <c r="D8" s="22" t="n"/>
    </row>
    <row r="9">
      <c r="A9" s="21" t="inlineStr">
        <is>
          <t>Other</t>
        </is>
      </c>
      <c r="B9" s="22" t="n"/>
      <c r="C9" s="23">
        <f>IF($B$10=0,"",B9/$B$10)</f>
        <v/>
      </c>
      <c r="D9" s="22" t="n"/>
    </row>
    <row r="10">
      <c r="A10" s="11" t="inlineStr">
        <is>
          <t>TOTAL (auto)</t>
        </is>
      </c>
      <c r="B10" s="23">
        <f>SUM(B3:B9)</f>
        <v/>
      </c>
      <c r="C10" s="23">
        <f>IF(B10=0,"",SUM(B3:B9)/B10)</f>
        <v/>
      </c>
      <c r="D10" s="24" t="n"/>
    </row>
    <row r="12">
      <c r="A12" s="20" t="inlineStr">
        <is>
          <t>NOTE: The 'diversity of sources' is the EVIDENCE behind TEXT-6 (counterfactual). No single bloc should dominate.</t>
        </is>
      </c>
    </row>
  </sheetData>
  <mergeCells count="2">
    <mergeCell ref="A1:D1"/>
    <mergeCell ref="A12:D1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3"/>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34" customWidth="1" min="1" max="1"/>
    <col width="12" customWidth="1" min="2" max="2"/>
    <col width="11" customWidth="1" min="3" max="3"/>
    <col width="11" customWidth="1" min="4" max="4"/>
    <col width="11" customWidth="1" min="5" max="5"/>
    <col width="11" customWidth="1" min="6" max="6"/>
    <col width="11" customWidth="1" min="7" max="7"/>
    <col width="11" customWidth="1" min="8" max="8"/>
    <col width="11" customWidth="1" min="9" max="9"/>
  </cols>
  <sheetData>
    <row r="1" ht="20" customHeight="1">
      <c r="A1" s="1" t="inlineStr">
        <is>
          <t>INDUSTRIAL EXPORTS &amp; OCP  (2025* = latest partial — label it)</t>
        </is>
      </c>
    </row>
    <row r="2">
      <c r="A2" s="8" t="inlineStr">
        <is>
          <t>Indicator</t>
        </is>
      </c>
      <c r="B2" s="8" t="inlineStr">
        <is>
          <t>Unit</t>
        </is>
      </c>
      <c r="C2" s="8" t="inlineStr">
        <is>
          <t>2014</t>
        </is>
      </c>
      <c r="D2" s="8" t="inlineStr">
        <is>
          <t>2016</t>
        </is>
      </c>
      <c r="E2" s="8" t="inlineStr">
        <is>
          <t>2018</t>
        </is>
      </c>
      <c r="F2" s="8" t="inlineStr">
        <is>
          <t>2020</t>
        </is>
      </c>
      <c r="G2" s="8" t="inlineStr">
        <is>
          <t>2022</t>
        </is>
      </c>
      <c r="H2" s="8" t="inlineStr">
        <is>
          <t>2024</t>
        </is>
      </c>
      <c r="I2" s="8" t="inlineStr">
        <is>
          <t>2025*</t>
        </is>
      </c>
    </row>
    <row r="3">
      <c r="A3" s="15" t="inlineStr">
        <is>
          <t>Automotive exports</t>
        </is>
      </c>
      <c r="B3" s="9" t="inlineStr">
        <is>
          <t>MAD bn</t>
        </is>
      </c>
      <c r="C3" s="13" t="n"/>
      <c r="D3" s="13" t="n"/>
      <c r="E3" s="13" t="n"/>
      <c r="F3" s="13" t="n"/>
      <c r="G3" s="13" t="n"/>
      <c r="H3" s="13" t="n"/>
      <c r="I3" s="13" t="n"/>
    </row>
    <row r="4">
      <c r="A4" s="15" t="inlineStr">
        <is>
          <t>Aerospace exports</t>
        </is>
      </c>
      <c r="B4" s="9" t="inlineStr">
        <is>
          <t>MAD bn</t>
        </is>
      </c>
      <c r="C4" s="13" t="n"/>
      <c r="D4" s="13" t="n"/>
      <c r="E4" s="13" t="n"/>
      <c r="F4" s="13" t="n"/>
      <c r="G4" s="13" t="n"/>
      <c r="H4" s="13" t="n"/>
      <c r="I4" s="13" t="n"/>
    </row>
    <row r="5">
      <c r="A5" s="15" t="inlineStr">
        <is>
          <t>OCP total revenue</t>
        </is>
      </c>
      <c r="B5" s="9" t="inlineStr">
        <is>
          <t>MAD bn</t>
        </is>
      </c>
      <c r="C5" s="13" t="n"/>
      <c r="D5" s="13" t="n"/>
      <c r="E5" s="13" t="n"/>
      <c r="F5" s="13" t="n"/>
      <c r="G5" s="13" t="n"/>
      <c r="H5" s="13" t="n"/>
      <c r="I5" s="13" t="n"/>
    </row>
    <row r="6">
      <c r="A6" s="15" t="inlineStr">
        <is>
          <t>OCP fertilizer share</t>
        </is>
      </c>
      <c r="B6" s="9" t="inlineStr">
        <is>
          <t>%</t>
        </is>
      </c>
      <c r="C6" s="13" t="n"/>
      <c r="D6" s="13" t="n"/>
      <c r="E6" s="13" t="n"/>
      <c r="F6" s="13" t="n"/>
      <c r="G6" s="13" t="n"/>
      <c r="H6" s="13" t="n"/>
      <c r="I6" s="13" t="n"/>
    </row>
    <row r="8">
      <c r="A8" s="18" t="inlineStr">
        <is>
          <t>Aerospace CAGR 2004→2024 (auto, enter 2004 &amp; 2024 below)</t>
        </is>
      </c>
    </row>
    <row r="9">
      <c r="A9" s="3" t="inlineStr">
        <is>
          <t>Aerospace 2004 (MAD bn)</t>
        </is>
      </c>
      <c r="B9" s="25" t="n"/>
    </row>
    <row r="10">
      <c r="A10" t="inlineStr">
        <is>
          <t>Aerospace 2024 (MAD bn)</t>
        </is>
      </c>
      <c r="B10" s="25" t="n"/>
    </row>
    <row r="11">
      <c r="A11" s="18" t="inlineStr">
        <is>
          <t>→ CAGR (auto)</t>
        </is>
      </c>
      <c r="B11" s="19">
        <f>IF(COUNT(B9,B10)=2,(B10/B9)^(1/20)-1,"")</f>
        <v/>
      </c>
      <c r="C11" s="20" t="inlineStr">
        <is>
          <t>← should be ≈ 13%</t>
        </is>
      </c>
    </row>
    <row r="13">
      <c r="A13" s="20" t="inlineStr">
        <is>
          <t>NOTE: feeds FIG-14/15/16. Confirm auto 2024=157 ; aero 2024=26.45 ; OCP 2024=96.99 (69% fert).</t>
        </is>
      </c>
    </row>
  </sheetData>
  <mergeCells count="2">
    <mergeCell ref="A1:I1"/>
    <mergeCell ref="A13:I1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30" customWidth="1" min="1" max="1"/>
    <col width="18" customWidth="1" min="2" max="2"/>
    <col width="18" customWidth="1" min="3" max="3"/>
    <col width="34" customWidth="1" min="4" max="4"/>
  </cols>
  <sheetData>
    <row r="1">
      <c r="A1" s="1" t="inlineStr">
        <is>
          <t>MOROCCO vs SOUTH AFRICA — SCORECARD (feeds FIG-19)</t>
        </is>
      </c>
    </row>
    <row r="2">
      <c r="A2" s="8" t="inlineStr">
        <is>
          <t>Metric (2025)</t>
        </is>
      </c>
      <c r="B2" s="8" t="inlineStr">
        <is>
          <t>Morocco</t>
        </is>
      </c>
      <c r="C2" s="8" t="inlineStr">
        <is>
          <t>South Africa</t>
        </is>
      </c>
      <c r="D2" s="8" t="inlineStr">
        <is>
          <t>Source</t>
        </is>
      </c>
    </row>
    <row r="3">
      <c r="A3" s="11" t="inlineStr">
        <is>
          <t>Inflation (%)</t>
        </is>
      </c>
      <c r="B3" s="13" t="inlineStr">
        <is>
          <t>0.8</t>
        </is>
      </c>
      <c r="C3" s="13" t="inlineStr">
        <is>
          <t>&gt;4</t>
        </is>
      </c>
      <c r="D3" s="22" t="n"/>
    </row>
    <row r="4">
      <c r="A4" s="11" t="inlineStr">
        <is>
          <t>Budget deficit (% GDP)</t>
        </is>
      </c>
      <c r="B4" s="13" t="inlineStr">
        <is>
          <t>3.5</t>
        </is>
      </c>
      <c r="C4" s="13" t="inlineStr">
        <is>
          <t>-5+</t>
        </is>
      </c>
      <c r="D4" s="22" t="n"/>
    </row>
    <row r="5">
      <c r="A5" s="11" t="inlineStr">
        <is>
          <t>Govt debt (% GDP)</t>
        </is>
      </c>
      <c r="B5" s="13" t="inlineStr">
        <is>
          <t>67.2</t>
        </is>
      </c>
      <c r="C5" s="13" t="inlineStr">
        <is>
          <t>74+</t>
        </is>
      </c>
      <c r="D5" s="22" t="n"/>
    </row>
    <row r="6">
      <c r="A6" s="11" t="inlineStr">
        <is>
          <t>S&amp;P rating</t>
        </is>
      </c>
      <c r="B6" s="13" t="inlineStr">
        <is>
          <t>BBB- (IG)</t>
        </is>
      </c>
      <c r="C6" s="13" t="inlineStr">
        <is>
          <t>BB (spec.)</t>
        </is>
      </c>
      <c r="D6" s="22" t="n"/>
    </row>
    <row r="7">
      <c r="A7" s="11" t="inlineStr">
        <is>
          <t>Load-shedding days (2023)</t>
        </is>
      </c>
      <c r="B7" s="13" t="inlineStr">
        <is>
          <t>0</t>
        </is>
      </c>
      <c r="C7" s="13" t="inlineStr">
        <is>
          <t>335</t>
        </is>
      </c>
      <c r="D7" s="22" t="n"/>
    </row>
    <row r="8">
      <c r="A8" s="11" t="inlineStr">
        <is>
          <t>Currency regime</t>
        </is>
      </c>
      <c r="B8" s="13" t="inlineStr">
        <is>
          <t>managed float</t>
        </is>
      </c>
      <c r="C8" s="13" t="inlineStr">
        <is>
          <t>free float (high vol)</t>
        </is>
      </c>
      <c r="D8" s="22" t="n"/>
    </row>
    <row r="9">
      <c r="A9" s="11" t="inlineStr">
        <is>
          <t>AfDB Industrialisation score</t>
        </is>
      </c>
      <c r="B9" s="13" t="inlineStr">
        <is>
          <t>0.8415</t>
        </is>
      </c>
      <c r="C9" s="13" t="inlineStr">
        <is>
          <t>0.8396</t>
        </is>
      </c>
      <c r="D9" s="22" t="n"/>
    </row>
    <row r="11">
      <c r="A11" s="20" t="inlineStr">
        <is>
          <t>NOTE: Values pre-filled from your draft — VERIFY each against source and paste URL. Reconcile deficit (3.5 not 3.6).</t>
        </is>
      </c>
    </row>
  </sheetData>
  <mergeCells count="2">
    <mergeCell ref="A1:D1"/>
    <mergeCell ref="A11:D1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9"/>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34" customWidth="1" min="1" max="1"/>
    <col width="12" customWidth="1" min="2" max="2"/>
    <col width="11" customWidth="1" min="3" max="3"/>
    <col width="11" customWidth="1" min="4" max="4"/>
    <col width="11" customWidth="1" min="5" max="5"/>
    <col width="11" customWidth="1" min="6" max="6"/>
    <col width="11" customWidth="1" min="7" max="7"/>
    <col width="11" customWidth="1" min="8" max="8"/>
  </cols>
  <sheetData>
    <row r="1" ht="20" customHeight="1">
      <c r="A1" s="1" t="inlineStr">
        <is>
          <t>HUMAN CAPITAL &amp; WATER STRESS (feeds TEXT-16, FIG-22)</t>
        </is>
      </c>
    </row>
    <row r="2">
      <c r="A2" s="8" t="inlineStr">
        <is>
          <t>Indicator</t>
        </is>
      </c>
      <c r="B2" s="8" t="inlineStr">
        <is>
          <t>Unit</t>
        </is>
      </c>
      <c r="C2" s="8" t="inlineStr">
        <is>
          <t>2015</t>
        </is>
      </c>
      <c r="D2" s="8" t="inlineStr">
        <is>
          <t>2017</t>
        </is>
      </c>
      <c r="E2" s="8" t="inlineStr">
        <is>
          <t>2019</t>
        </is>
      </c>
      <c r="F2" s="8" t="inlineStr">
        <is>
          <t>2021</t>
        </is>
      </c>
      <c r="G2" s="8" t="inlineStr">
        <is>
          <t>2023</t>
        </is>
      </c>
      <c r="H2" s="8" t="inlineStr">
        <is>
          <t>2025</t>
        </is>
      </c>
    </row>
    <row r="3">
      <c r="A3" s="15" t="inlineStr">
        <is>
          <t>Youth unemployment</t>
        </is>
      </c>
      <c r="B3" s="9" t="inlineStr">
        <is>
          <t>%</t>
        </is>
      </c>
      <c r="C3" s="13" t="n"/>
      <c r="D3" s="13" t="n"/>
      <c r="E3" s="13" t="n"/>
      <c r="F3" s="13" t="n"/>
      <c r="G3" s="13" t="n"/>
      <c r="H3" s="13" t="n"/>
    </row>
    <row r="4">
      <c r="A4" s="15" t="inlineStr">
        <is>
          <t>Female labour-force participation</t>
        </is>
      </c>
      <c r="B4" s="9" t="inlineStr">
        <is>
          <t>%</t>
        </is>
      </c>
      <c r="C4" s="13" t="n"/>
      <c r="D4" s="13" t="n"/>
      <c r="E4" s="13" t="n"/>
      <c r="F4" s="13" t="n"/>
      <c r="G4" s="13" t="n"/>
      <c r="H4" s="13" t="n"/>
    </row>
    <row r="5">
      <c r="A5" s="15" t="inlineStr">
        <is>
          <t>NEET rate (youth)</t>
        </is>
      </c>
      <c r="B5" s="9" t="inlineStr">
        <is>
          <t>%</t>
        </is>
      </c>
      <c r="C5" s="13" t="n"/>
      <c r="D5" s="13" t="n"/>
      <c r="E5" s="13" t="n"/>
      <c r="F5" s="13" t="n"/>
      <c r="G5" s="13" t="n"/>
      <c r="H5" s="13" t="n"/>
    </row>
    <row r="6">
      <c r="A6" s="15" t="inlineStr">
        <is>
          <t>Renewable freshwater per capita</t>
        </is>
      </c>
      <c r="B6" s="9" t="inlineStr">
        <is>
          <t>m3/yr</t>
        </is>
      </c>
      <c r="C6" s="13" t="n"/>
      <c r="D6" s="13" t="n"/>
      <c r="E6" s="13" t="n"/>
      <c r="F6" s="13" t="n"/>
      <c r="G6" s="13" t="n"/>
      <c r="H6" s="13" t="n"/>
    </row>
    <row r="8">
      <c r="A8" s="20" t="inlineStr">
        <is>
          <t>NOTE: female LFP replaces the [X] in TEXT-16. Water threshold line = 1000 m3 (mark on FIG-22). Per-capita 1960s ≈ 2500.</t>
        </is>
      </c>
    </row>
    <row r="9"/>
  </sheetData>
  <mergeCells count="2">
    <mergeCell ref="A8:H9"/>
    <mergeCell ref="A1:H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9"/>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34" customWidth="1" min="1" max="1"/>
    <col width="12" customWidth="1" min="2" max="2"/>
    <col width="11" customWidth="1" min="3" max="3"/>
    <col width="11" customWidth="1" min="4" max="4"/>
    <col width="11" customWidth="1" min="5" max="5"/>
    <col width="11" customWidth="1" min="6" max="6"/>
    <col width="11" customWidth="1" min="7" max="7"/>
    <col width="11" customWidth="1" min="8" max="8"/>
  </cols>
  <sheetData>
    <row r="1" ht="20" customHeight="1">
      <c r="A1" s="1" t="inlineStr">
        <is>
          <t>ECONOMIC COMPLEXITY &amp; VALUE CAPTURE (feeds TEXT-13, FIG-16b)</t>
        </is>
      </c>
    </row>
    <row r="2">
      <c r="A2" s="8" t="inlineStr">
        <is>
          <t>Indicator</t>
        </is>
      </c>
      <c r="B2" s="8" t="inlineStr">
        <is>
          <t>Unit</t>
        </is>
      </c>
      <c r="C2" s="8" t="inlineStr">
        <is>
          <t>2000</t>
        </is>
      </c>
      <c r="D2" s="8" t="inlineStr">
        <is>
          <t>2005</t>
        </is>
      </c>
      <c r="E2" s="8" t="inlineStr">
        <is>
          <t>2010</t>
        </is>
      </c>
      <c r="F2" s="8" t="inlineStr">
        <is>
          <t>2015</t>
        </is>
      </c>
      <c r="G2" s="8" t="inlineStr">
        <is>
          <t>2020</t>
        </is>
      </c>
      <c r="H2" s="8" t="inlineStr">
        <is>
          <t>2023</t>
        </is>
      </c>
    </row>
    <row r="3">
      <c r="A3" s="15" t="inlineStr">
        <is>
          <t>Economic Complexity Index (ECI) rank</t>
        </is>
      </c>
      <c r="B3" s="9" t="inlineStr">
        <is>
          <t>rank</t>
        </is>
      </c>
      <c r="C3" s="13" t="n"/>
      <c r="D3" s="13" t="n"/>
      <c r="E3" s="13" t="n"/>
      <c r="F3" s="13" t="n"/>
      <c r="G3" s="13" t="n"/>
      <c r="H3" s="13" t="n"/>
    </row>
    <row r="4">
      <c r="A4" s="15" t="inlineStr">
        <is>
          <t>ECI value</t>
        </is>
      </c>
      <c r="B4" s="9" t="inlineStr">
        <is>
          <t>index</t>
        </is>
      </c>
      <c r="C4" s="13" t="n"/>
      <c r="D4" s="13" t="n"/>
      <c r="E4" s="13" t="n"/>
      <c r="F4" s="13" t="n"/>
      <c r="G4" s="13" t="n"/>
      <c r="H4" s="13" t="n"/>
    </row>
    <row r="5">
      <c r="A5" s="15" t="inlineStr">
        <is>
          <t>Domestic value-added in exports</t>
        </is>
      </c>
      <c r="B5" s="9" t="inlineStr">
        <is>
          <t>%</t>
        </is>
      </c>
      <c r="C5" s="13" t="n"/>
      <c r="D5" s="13" t="n"/>
      <c r="E5" s="13" t="n"/>
      <c r="F5" s="13" t="n"/>
      <c r="G5" s="13" t="n"/>
      <c r="H5" s="13" t="n"/>
    </row>
    <row r="7">
      <c r="A7" s="20" t="inlineStr">
        <is>
          <t>NOTE: Pull ECI rank from atlas.hks.harvard.edu. ⚠ VERIFY DIRECTION before writing 'moved materially up' — check the most recent years specifically. TiVA domestic VA ≠ LIR; this is the real value-capture metric.</t>
        </is>
      </c>
    </row>
    <row r="8"/>
    <row r="9"/>
  </sheetData>
  <mergeCells count="2">
    <mergeCell ref="A7:H9"/>
    <mergeCell ref="A1:H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34" customWidth="1" min="1" max="1"/>
    <col width="22" customWidth="1" min="2" max="2"/>
    <col width="22" customWidth="1" min="3" max="3"/>
    <col width="16" customWidth="1" min="4" max="4"/>
    <col width="40" customWidth="1" min="5" max="5"/>
  </cols>
  <sheetData>
    <row r="1">
      <c r="A1" s="1" t="inlineStr">
        <is>
          <t>RECONCILIATION DASHBOARD — the 4 known conflicts in the paper</t>
        </is>
      </c>
    </row>
    <row r="2">
      <c r="A2" s="8" t="inlineStr">
        <is>
          <t>Conflict</t>
        </is>
      </c>
      <c r="B2" s="8" t="inlineStr">
        <is>
          <t>Value A in paper</t>
        </is>
      </c>
      <c r="C2" s="8" t="inlineStr">
        <is>
          <t>Value B in paper</t>
        </is>
      </c>
      <c r="D2" s="8" t="inlineStr">
        <is>
          <t>Your decision</t>
        </is>
      </c>
      <c r="E2" s="8" t="inlineStr">
        <is>
          <t>Action</t>
        </is>
      </c>
    </row>
    <row r="3">
      <c r="A3" s="15" t="inlineStr">
        <is>
          <t>S-I gap</t>
        </is>
      </c>
      <c r="B3" s="24" t="inlineStr">
        <is>
          <t>2.9% (Q3)</t>
        </is>
      </c>
      <c r="C3" s="24" t="inlineStr">
        <is>
          <t>2.6% (Q4)</t>
        </is>
      </c>
      <c r="D3" s="22" t="n"/>
      <c r="E3" s="10" t="inlineStr">
        <is>
          <t>Pick one headline series; footnote the other</t>
        </is>
      </c>
    </row>
    <row r="4">
      <c r="A4" s="15" t="inlineStr">
        <is>
          <t>Savings / Investment</t>
        </is>
      </c>
      <c r="B4" s="24" t="inlineStr">
        <is>
          <t>30.8 / 33.4 (Q4)</t>
        </is>
      </c>
      <c r="C4" s="24" t="inlineStr">
        <is>
          <t>29.7 / 32.6 (full yr)</t>
        </is>
      </c>
      <c r="D4" s="22" t="n"/>
      <c r="E4" s="10" t="inlineStr">
        <is>
          <t>Match to the gap series chosen above</t>
        </is>
      </c>
    </row>
    <row r="5">
      <c r="A5" s="15" t="inlineStr">
        <is>
          <t>FX import cover</t>
        </is>
      </c>
      <c r="B5" s="24" t="inlineStr">
        <is>
          <t>6 months</t>
        </is>
      </c>
      <c r="C5" s="24" t="inlineStr">
        <is>
          <t>5.5 months</t>
        </is>
      </c>
      <c r="D5" s="22" t="n"/>
      <c r="E5" s="10" t="inlineStr">
        <is>
          <t>Use 6; delete 5.5 instance in Part VIII</t>
        </is>
      </c>
    </row>
    <row r="6">
      <c r="A6" s="15" t="inlineStr">
        <is>
          <t>2025 budget deficit</t>
        </is>
      </c>
      <c r="B6" s="24" t="inlineStr">
        <is>
          <t>3.5%</t>
        </is>
      </c>
      <c r="C6" s="24" t="inlineStr">
        <is>
          <t>3.6%</t>
        </is>
      </c>
      <c r="D6" s="22" t="n"/>
      <c r="E6" s="10" t="inlineStr">
        <is>
          <t>Use 3.5; fix Part VIII scorecard</t>
        </is>
      </c>
    </row>
    <row r="7">
      <c r="A7" s="15" t="inlineStr">
        <is>
          <t>LIR auto</t>
        </is>
      </c>
      <c r="B7" s="24" t="inlineStr">
        <is>
          <t>'exceeded 65%' (Pt I)</t>
        </is>
      </c>
      <c r="C7" s="24" t="inlineStr">
        <is>
          <t>'set at 65%' (Pt VI)</t>
        </is>
      </c>
      <c r="D7" s="22" t="n"/>
      <c r="E7" s="10" t="inlineStr">
        <is>
          <t>State target vs achieved explicitly</t>
        </is>
      </c>
    </row>
    <row r="8">
      <c r="A8" s="15" t="inlineStr">
        <is>
          <t>CIT signal</t>
        </is>
      </c>
      <c r="B8" s="24" t="inlineStr">
        <is>
          <t>+28.6% = 'health'</t>
        </is>
      </c>
      <c r="C8" s="24" t="inlineStr">
        <is>
          <t>incl. MAD 20bn one-off</t>
        </is>
      </c>
      <c r="D8" s="22" t="n"/>
      <c r="E8" s="10" t="inlineStr">
        <is>
          <t>Use recurring + 12.4% revenue CAGR</t>
        </is>
      </c>
    </row>
    <row r="10">
      <c r="A10" s="20" t="inlineStr">
        <is>
          <t>When all 'Your decision' cells are filled, propagate the chosen values to every sheet AND every page of the manuscript.</t>
        </is>
      </c>
    </row>
  </sheetData>
  <mergeCells count="2">
    <mergeCell ref="A1:E1"/>
    <mergeCell ref="A10:E1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2026-06-10T13:29:31Z</dcterms:created>
  <dcterms:modified xsi:type="dcterms:W3CDTF">2026-06-10T13:29:31Z</dcterms:modified>
</cp:coreProperties>
</file>