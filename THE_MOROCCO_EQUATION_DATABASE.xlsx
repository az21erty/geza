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0. Sources" sheetId="2" state="visible" r:id="rId2"/>
    <sheet name="2. S-I Identity (FILLED)" sheetId="3" state="visible" r:id="rId3"/>
    <sheet name="1. Indicator Tracker" sheetId="4" state="visible" r:id="rId4"/>
    <sheet name="3. Revenue &amp; CIT" sheetId="5" state="visible" r:id="rId5"/>
    <sheet name="5. External Sector" sheetId="6" state="visible" r:id="rId6"/>
    <sheet name="6. FDI by Source" sheetId="7" state="visible" r:id="rId7"/>
    <sheet name="7. Industry" sheetId="8" state="visible" r:id="rId8"/>
    <sheet name="8. MA vs SA Scorecard" sheetId="9" state="visible" r:id="rId9"/>
    <sheet name="9. Human Capital &amp; Water" sheetId="10" state="visible" r:id="rId10"/>
    <sheet name="10. Complexity &amp; TiVA" sheetId="11" state="visible" r:id="rId11"/>
    <sheet name="11. Reconciliation"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3"/>
    </font>
    <font>
      <b val="1"/>
    </font>
    <font>
      <b val="1"/>
      <color rgb="00FFFFFF"/>
      <sz val="11"/>
    </font>
    <font>
      <i val="1"/>
      <color rgb="00555555"/>
      <sz val="9"/>
    </font>
    <font/>
  </fonts>
  <fills count="8">
    <fill>
      <patternFill/>
    </fill>
    <fill>
      <patternFill patternType="gray125"/>
    </fill>
    <fill>
      <patternFill patternType="solid">
        <fgColor rgb="001B2A4A"/>
      </patternFill>
    </fill>
    <fill>
      <patternFill patternType="solid">
        <fgColor rgb="00FFF2CC"/>
      </patternFill>
    </fill>
    <fill>
      <patternFill patternType="solid">
        <fgColor rgb="00DDEBF7"/>
      </patternFill>
    </fill>
    <fill>
      <patternFill patternType="solid">
        <fgColor rgb="00C6EFCE"/>
      </patternFill>
    </fill>
    <fill>
      <patternFill patternType="solid">
        <fgColor rgb="00FFC7CE"/>
      </patternFill>
    </fill>
    <fill>
      <patternFill patternType="solid">
        <fgColor rgb="00FCE4D6"/>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vertical="top" wrapText="1"/>
    </xf>
    <xf numFmtId="0" fontId="0"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2" fillId="6" borderId="0" applyAlignment="1" pivotButton="0" quotePrefix="0" xfId="0">
      <alignment vertical="top" wrapText="1"/>
    </xf>
    <xf numFmtId="0" fontId="3" fillId="2" borderId="1" applyAlignment="1" pivotButton="0" quotePrefix="0" xfId="0">
      <alignment vertical="top" wrapText="1"/>
    </xf>
    <xf numFmtId="0" fontId="2" fillId="0" borderId="1" applyAlignment="1" pivotButton="0" quotePrefix="0" xfId="0">
      <alignment horizontal="center" vertical="center"/>
    </xf>
    <xf numFmtId="0" fontId="0" fillId="0" borderId="1" applyAlignment="1" pivotButton="0" quotePrefix="0" xfId="0">
      <alignment vertical="top" wrapText="1"/>
    </xf>
    <xf numFmtId="0" fontId="0" fillId="0" borderId="1" applyAlignment="1" pivotButton="0" quotePrefix="0" xfId="0">
      <alignment horizontal="center" vertical="center"/>
    </xf>
    <xf numFmtId="0" fontId="2" fillId="0" borderId="1" applyAlignment="1" pivotButton="0" quotePrefix="0" xfId="0">
      <alignment vertical="top" wrapText="1"/>
    </xf>
    <xf numFmtId="0" fontId="0" fillId="4" borderId="1" applyAlignment="1" pivotButton="0" quotePrefix="0" xfId="0">
      <alignment horizontal="center" vertical="center"/>
    </xf>
    <xf numFmtId="0" fontId="0" fillId="3" borderId="1" applyAlignment="1" pivotButton="0" quotePrefix="0" xfId="0">
      <alignment horizontal="center" vertical="center"/>
    </xf>
    <xf numFmtId="0" fontId="0" fillId="5" borderId="1" applyAlignment="1" pivotButton="0" quotePrefix="0" xfId="0">
      <alignment horizontal="center" vertical="center"/>
    </xf>
    <xf numFmtId="0" fontId="4" fillId="0" borderId="0" applyAlignment="1" pivotButton="0" quotePrefix="0" xfId="0">
      <alignment vertical="top" wrapText="1"/>
    </xf>
    <xf numFmtId="0" fontId="2" fillId="0" borderId="1" pivotButton="0" quotePrefix="0" xfId="0"/>
    <xf numFmtId="0" fontId="0" fillId="3" borderId="1" applyAlignment="1" pivotButton="0" quotePrefix="0" xfId="0">
      <alignment vertical="top" wrapText="1"/>
    </xf>
    <xf numFmtId="0" fontId="0" fillId="4" borderId="1" applyAlignment="1" pivotButton="0" quotePrefix="0" xfId="0">
      <alignment vertical="top" wrapText="1"/>
    </xf>
    <xf numFmtId="0" fontId="2" fillId="0" borderId="0" pivotButton="0" quotePrefix="0" xfId="0"/>
    <xf numFmtId="0" fontId="0" fillId="5" borderId="0" pivotButton="0" quotePrefix="0" xfId="0"/>
    <xf numFmtId="0" fontId="5" fillId="0" borderId="1" pivotButton="0" quotePrefix="0" xfId="0"/>
    <xf numFmtId="0" fontId="0" fillId="3" borderId="1" pivotButton="0" quotePrefix="0" xfId="0"/>
    <xf numFmtId="0" fontId="0" fillId="5" borderId="1" pivotButton="0" quotePrefix="0" xfId="0"/>
    <xf numFmtId="0" fontId="0" fillId="0" borderId="1" pivotButton="0" quotePrefix="0" xfId="0"/>
    <xf numFmtId="0" fontId="0" fillId="7" borderId="1" applyAlignment="1" pivotButton="0" quotePrefix="0" xfId="0">
      <alignment horizontal="center" vertical="center"/>
    </xf>
  </cellXfs>
  <cellStyles count="1">
    <cellStyle name="Normal" xfId="0" builtinId="0" hidden="0"/>
  </cellStyles>
  <dxfs count="4">
    <dxf>
      <font>
        <b val="1"/>
        <color rgb="00006100"/>
      </font>
      <fill>
        <patternFill patternType="solid">
          <fgColor rgb="00C6EFCE"/>
        </patternFill>
      </fill>
    </dxf>
    <dxf>
      <font>
        <b val="1"/>
        <color rgb="009C0006"/>
      </font>
      <fill>
        <patternFill patternType="solid">
          <fgColor rgb="00FFC7CE"/>
        </patternFill>
      </fill>
    </dxf>
    <dxf>
      <fill>
        <patternFill patternType="solid">
          <fgColor rgb="00FFC7CE"/>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builder</author>
  </authors>
  <commentList>
    <comment ref="C3" authorId="0" shapeId="0">
      <text>
        <t>[A] HCP, Note d'information sur la situation économique nationale (Comptes nationaux trimestriels), Comptes_2125_plus_note_2026.pdf, p.1 (note Q1-2021).</t>
      </text>
    </comment>
    <comment ref="D3" authorId="0" shapeId="0">
      <text>
        <t>[A] HCP, Note d'information sur la situation économique nationale (Comptes nationaux trimestriels), Comptes_2125_plus_note_2026.pdf, p.5 (note Q2-2021).</t>
      </text>
    </comment>
    <comment ref="E3" authorId="0" shapeId="0">
      <text>
        <t>[A] HCP, Note d'information sur la situation économique nationale (Comptes nationaux trimestriels), Comptes_2125_plus_note_2026.pdf, p.9 (note Q3-2021).</t>
      </text>
    </comment>
    <comment ref="F3" authorId="0" shapeId="0">
      <text>
        <t>[A] HCP, Note d'information sur la situation économique nationale (Comptes nationaux trimestriels), Comptes_2125_plus_note_2026.pdf, p.13 (note Q4-2021).</t>
      </text>
    </comment>
    <comment ref="G3" authorId="0" shapeId="0">
      <text>
        <t>[A] HCP, Note d'information sur la situation économique nationale (Comptes nationaux trimestriels), Comptes_2125_plus_note_2026.pdf, p.17 (note Q1-2022).</t>
      </text>
    </comment>
    <comment ref="H3" authorId="0" shapeId="0">
      <text>
        <t>[A] HCP, Note d'information sur la situation économique nationale (Comptes nationaux trimestriels), Comptes_2125_plus_note_2026.pdf, p.21 (note Q2-2022).</t>
      </text>
    </comment>
    <comment ref="I3" authorId="0" shapeId="0">
      <text>
        <t>[A] HCP, Note d'information sur la situation économique nationale (Comptes nationaux trimestriels), Comptes_2125_plus_note_2026.pdf, p.25 (note Q3-2022).</t>
      </text>
    </comment>
    <comment ref="J3" authorId="0" shapeId="0">
      <text>
        <t>[A] HCP, Note d'information sur la situation économique nationale (Comptes nationaux trimestriels), Comptes_2125_plus_note_2026.pdf, p.29 (note Q4-2022).</t>
      </text>
    </comment>
    <comment ref="K3" authorId="0" shapeId="0">
      <text>
        <t>[A] HCP, Note d'information sur la situation économique nationale (Comptes nationaux trimestriels), Comptes_2125_plus_note_2026.pdf, p.33 (note Q1-2023).</t>
      </text>
    </comment>
    <comment ref="L3" authorId="0" shapeId="0">
      <text>
        <t>[A] HCP, Note d'information sur la situation économique nationale (Comptes nationaux trimestriels), Comptes_2125_plus_note_2026.pdf, p.37 (note Q2-2023).</t>
      </text>
    </comment>
    <comment ref="M3" authorId="0" shapeId="0">
      <text>
        <t>[A] HCP, Note d'information sur la situation économique nationale (Comptes nationaux trimestriels), Comptes_2125_plus_note_2026.pdf, p.41 (note Q3-2023).</t>
      </text>
    </comment>
    <comment ref="N3" authorId="0" shapeId="0">
      <text>
        <t>[A] HCP, Note d'information sur la situation économique nationale (Comptes nationaux trimestriels), Comptes_2125_plus_note_2026.pdf, p.45 (note Q4-2023).</t>
      </text>
    </comment>
    <comment ref="O3" authorId="0" shapeId="0">
      <text>
        <t>[A] HCP, Note d'information sur la situation économique nationale (Comptes nationaux trimestriels), Comptes_2125_plus_note_2026.pdf, p.49 (note Q1-2024).</t>
      </text>
    </comment>
    <comment ref="P3" authorId="0" shapeId="0">
      <text>
        <t>[A] HCP, Note d'information sur la situation économique nationale (Comptes nationaux trimestriels), Comptes_2125_plus_note_2026.pdf, p.53 (note Q2-2024).</t>
      </text>
    </comment>
    <comment ref="Q3" authorId="0" shapeId="0">
      <text>
        <t>[A] HCP, Note d'information sur la situation économique nationale (Comptes nationaux trimestriels), Comptes_2125_plus_note_2026.pdf, p.57 (note Q3-2024).</t>
      </text>
    </comment>
    <comment ref="R3" authorId="0" shapeId="0">
      <text>
        <t>[A] HCP, Note d'information sur la situation économique nationale (Comptes nationaux trimestriels), Comptes_2125_plus_note_2026.pdf, p.61 (note Q4-2024).</t>
      </text>
    </comment>
    <comment ref="S3" authorId="0" shapeId="0">
      <text>
        <t>[A] HCP, Note d'information sur la situation économique nationale (Comptes nationaux trimestriels), Comptes_2125_plus_note_2026.pdf, p.65 (note Q1-2025).</t>
      </text>
    </comment>
    <comment ref="T3" authorId="0" shapeId="0">
      <text>
        <t>[A] HCP, Note d'information sur la situation économique nationale (Comptes nationaux trimestriels), Comptes_2125_plus_note_2026.pdf, p.68 (note Q2-2025).</t>
      </text>
    </comment>
    <comment ref="U3" authorId="0" shapeId="0">
      <text>
        <t>[A] HCP, Note d'information sur la situation économique nationale (Comptes nationaux trimestriels), Comptes_2125_plus_note_2026.pdf, p.72 (note Q3-2025).</t>
      </text>
    </comment>
    <comment ref="V3" authorId="0" shapeId="0">
      <text>
        <t>[A] HCP, Note d'information sur la situation économique nationale (Comptes nationaux trimestriels), Comptes_2125_plus_note_2026.pdf, p.76 (note Q4-2025).</t>
      </text>
    </comment>
    <comment ref="C4" authorId="0" shapeId="0">
      <text>
        <t>[A] PDF p.1 — 'besoin de financement'.</t>
      </text>
    </comment>
    <comment ref="D4" authorId="0" shapeId="0">
      <text>
        <t>[A] PDF p.5 — 'besoin de financement'.</t>
      </text>
    </comment>
    <comment ref="E4" authorId="0" shapeId="0">
      <text>
        <t>[A] PDF p.9 — 'besoin de financement'.</t>
      </text>
    </comment>
    <comment ref="F4" authorId="0" shapeId="0">
      <text>
        <t>Not explicitly stated this quarter — fill from PDF table or leave.</t>
      </text>
    </comment>
    <comment ref="G4" authorId="0" shapeId="0">
      <text>
        <t>[A] PDF p.17 — 'besoin de financement'.</t>
      </text>
    </comment>
    <comment ref="H4" authorId="0" shapeId="0">
      <text>
        <t>[A] PDF p.21 — 'besoin de financement'.</t>
      </text>
    </comment>
    <comment ref="I4" authorId="0" shapeId="0">
      <text>
        <t>[A] PDF p.25 — 'besoin de financement'.</t>
      </text>
    </comment>
    <comment ref="J4" authorId="0" shapeId="0">
      <text>
        <t>[A] PDF p.29 — 'besoin de financement'.</t>
      </text>
    </comment>
    <comment ref="K4" authorId="0" shapeId="0">
      <text>
        <t>Not explicitly stated this quarter — fill from PDF table or leave.</t>
      </text>
    </comment>
    <comment ref="L4" authorId="0" shapeId="0">
      <text>
        <t>[A] PDF p.37 — 'besoin de financement'.</t>
      </text>
    </comment>
    <comment ref="M4" authorId="0" shapeId="0">
      <text>
        <t>[A] PDF p.41 — 'besoin de financement'.</t>
      </text>
    </comment>
    <comment ref="N4" authorId="0" shapeId="0">
      <text>
        <t>[A] PDF p.45 — 'besoin de financement'.</t>
      </text>
    </comment>
    <comment ref="O4" authorId="0" shapeId="0">
      <text>
        <t>Not explicitly stated this quarter — fill from PDF table or leave.</t>
      </text>
    </comment>
    <comment ref="P4" authorId="0" shapeId="0">
      <text>
        <t>[A] PDF p.53 — 'besoin de financement'.</t>
      </text>
    </comment>
    <comment ref="Q4" authorId="0" shapeId="0">
      <text>
        <t>[A] PDF p.57 — 'besoin de financement'.</t>
      </text>
    </comment>
    <comment ref="R4" authorId="0" shapeId="0">
      <text>
        <t>[A] PDF p.61 — 'besoin de financement'.</t>
      </text>
    </comment>
    <comment ref="S4" authorId="0" shapeId="0">
      <text>
        <t>[A] PDF p.65 — 'besoin de financement'.</t>
      </text>
    </comment>
    <comment ref="T4" authorId="0" shapeId="0">
      <text>
        <t>[A] PDF p.68 — 'besoin de financement'.</t>
      </text>
    </comment>
    <comment ref="U4" authorId="0" shapeId="0">
      <text>
        <t>[A] PDF p.72 — 'besoin de financement'.</t>
      </text>
    </comment>
    <comment ref="V4" authorId="0" shapeId="0">
      <text>
        <t>[A] PDF p.76 — 'besoin de financement'.</t>
      </text>
    </comment>
    <comment ref="T6" authorId="0" shapeId="0">
      <text>
        <t>[A] PDF p.68 — 'investissement brut'.</t>
      </text>
    </comment>
    <comment ref="U6" authorId="0" shapeId="0">
      <text>
        <t>[A] PDF p.72 — 'investissement brut'.</t>
      </text>
    </comment>
    <comment ref="V6" authorId="0" shapeId="0">
      <text>
        <t>[A] PDF p.76 — 'investissement brut'.</t>
      </text>
    </comment>
  </commentList>
</comments>
</file>

<file path=xl/comments/comment2.xml><?xml version="1.0" encoding="utf-8"?>
<comments xmlns="http://schemas.openxmlformats.org/spreadsheetml/2006/main">
  <authors>
    <author>web-search</author>
  </authors>
  <commentList>
    <comment ref="I4" authorId="0" shapeId="0">
      <text>
        <t>[C] 2024 remittances ~MAD 116.28bn. Source: Office des Changes via press, 2025. VERIFY.</t>
      </text>
    </comment>
    <comment ref="J4" authorId="0" shapeId="0">
      <text>
        <t>[C] 2025 remittances ~MAD 122bn (+2.6% YoY). Source: Office des Changes, reported via Atalayar/AceMoneyTransfer, 2026. VERIFY exact OC figure.</t>
      </text>
    </comment>
    <comment ref="E5" authorId="0" shapeId="0">
      <text>
        <t>[G] 2020 remittances 6.46% of GDP (World Bank/TradingEconomics).</t>
      </text>
    </comment>
    <comment ref="I5" authorId="0" shapeId="0">
      <text>
        <t>[G] 2024 remittances ~8% of GDP (World Bank; Statista 7.79%). VERIFY exact %.</t>
      </text>
    </comment>
  </commentList>
</comments>
</file>

<file path=xl/comments/comment3.xml><?xml version="1.0" encoding="utf-8"?>
<comments xmlns="http://schemas.openxmlformats.org/spreadsheetml/2006/main">
  <authors>
    <author>web-search</author>
  </authors>
  <commentList>
    <comment ref="G4" authorId="0" shapeId="0">
      <text>
        <t>[A/G] 2023 female LFP 19% (HCP, via Policy Center 2024; World Bank confirms). 15+ definition.</t>
      </text>
    </comment>
    <comment ref="H4" authorId="0" shapeId="0">
      <text>
        <t>[A] Q1-2026 female LFP 17.5% (HCP, via Morocco World News May-2026). NOTE: declining. 2024 was 19.1%.</t>
      </text>
    </comment>
  </commentList>
</comments>
</file>

<file path=xl/comments/comment4.xml><?xml version="1.0" encoding="utf-8"?>
<comments xmlns="http://schemas.openxmlformats.org/spreadsheetml/2006/main">
  <authors>
    <author>web-search</author>
  </authors>
  <commentList>
    <comment ref="H3" authorId="0" shapeId="0">
      <text>
        <t>OEC (oec.world) ranks Morocco #78 most complex economy (latest). NOTE: this is OEC methodology, NOT Harvard Atlas. Manuscript cites Harvard Atlas - pull the Harvard number from atlas.hks.harvard.edu and VERIFY it agrees. Our World in Data also has the series.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6.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sheet1.xml><?xml version="1.0" encoding="utf-8"?>
<worksheet xmlns="http://schemas.openxmlformats.org/spreadsheetml/2006/main">
  <sheetPr>
    <outlinePr summaryBelow="1" summaryRight="1"/>
    <pageSetUpPr/>
  </sheetPr>
  <dimension ref="B2:C17"/>
  <sheetViews>
    <sheetView workbookViewId="0">
      <selection activeCell="A1" sqref="A1"/>
    </sheetView>
  </sheetViews>
  <sheetFormatPr baseColWidth="8" defaultRowHeight="15"/>
  <cols>
    <col width="3" customWidth="1" min="1" max="1"/>
    <col width="30" customWidth="1" min="2" max="2"/>
    <col width="92" customWidth="1" min="3" max="3"/>
  </cols>
  <sheetData>
    <row r="2" ht="26" customHeight="1">
      <c r="B2" s="1" t="inlineStr">
        <is>
          <t>THE MOROCCO EQUATION — MASTER DATA WORKBOOK (pre-filled v2)</t>
        </is>
      </c>
    </row>
    <row r="4">
      <c r="B4" s="2" t="inlineStr"/>
      <c r="C4" s="3" t="inlineStr"/>
    </row>
    <row r="5">
      <c r="B5" s="2" t="inlineStr">
        <is>
          <t>WHAT CHANGED IN v2</t>
        </is>
      </c>
      <c r="C5" s="3" t="inlineStr">
        <is>
          <t>Sheet 2 (S-I Identity) is now PRE-FILLED for all 20 quarters (2021-2025) directly from your HCP PDF. Each value is sourced to an exact PDF page in the comment + Source column. Other sheets carry your manuscript's cited figures marked 'VERIFY'.</t>
        </is>
      </c>
    </row>
    <row r="6">
      <c r="B6" s="2" t="inlineStr"/>
      <c r="C6" s="3" t="inlineStr"/>
    </row>
    <row r="7">
      <c r="B7" s="2" t="inlineStr">
        <is>
          <t>COLOR LEGEND</t>
        </is>
      </c>
      <c r="C7" s="3" t="inlineStr"/>
    </row>
    <row r="8">
      <c r="B8" s="4" t="inlineStr">
        <is>
          <t xml:space="preserve">  Yellow</t>
        </is>
      </c>
      <c r="C8" s="3" t="inlineStr">
        <is>
          <t>YOU still need to find/fill this (not in the PDF).</t>
        </is>
      </c>
    </row>
    <row r="9">
      <c r="B9" s="5" t="inlineStr">
        <is>
          <t xml:space="preserve">  Blue</t>
        </is>
      </c>
      <c r="C9" s="3" t="inlineStr">
        <is>
          <t>PRE-FILLED from a source. Hover the cell for the citation. Verify, then mark DONE.</t>
        </is>
      </c>
    </row>
    <row r="10">
      <c r="B10" s="6" t="inlineStr">
        <is>
          <t xml:space="preserve">  Green</t>
        </is>
      </c>
      <c r="C10" s="3" t="inlineStr">
        <is>
          <t>AUTO-CALCULATED (gap, investment, CAGR, checks). Never type here.</t>
        </is>
      </c>
    </row>
    <row r="11">
      <c r="B11" s="7" t="inlineStr">
        <is>
          <t xml:space="preserve">  Red</t>
        </is>
      </c>
      <c r="C11" s="3" t="inlineStr">
        <is>
          <t>A CHECK failed — numbers contradict. Investigate.</t>
        </is>
      </c>
    </row>
    <row r="12">
      <c r="B12" s="2" t="inlineStr"/>
      <c r="C12" s="3" t="inlineStr"/>
    </row>
    <row r="13">
      <c r="B13" s="2" t="inlineStr">
        <is>
          <t>KEY FINDING (already resolved for you)</t>
        </is>
      </c>
      <c r="C13" s="3" t="inlineStr">
        <is>
          <t>Your 'S-I conflict' was a false alarm. The two number-pairs are two DIFFERENT quarters of 2025: Q3-2025 = savings 29.7 / investment 32.6 / gap 2.9% ; Q4-2025 = savings 30.8 / investment 33.4 / gap 2.6%. BOTH are correct and BOTH are in the PDF. Decision: use Q4-2025 (latest) as the headline, cite Q3 as the prior quarter.</t>
        </is>
      </c>
    </row>
    <row r="14">
      <c r="B14" s="2" t="inlineStr"/>
      <c r="C14" s="3" t="inlineStr"/>
    </row>
    <row r="15">
      <c r="B15" s="2" t="inlineStr">
        <is>
          <t>GOLDEN RULE</t>
        </is>
      </c>
      <c r="C15" s="3" t="inlineStr">
        <is>
          <t>No number enters the manuscript unless it is green-checked here and carries a source. This guarantees all 55 pages reconcile.</t>
        </is>
      </c>
    </row>
    <row r="16">
      <c r="B16" s="2" t="inlineStr"/>
      <c r="C16" s="3" t="inlineStr"/>
    </row>
    <row r="17">
      <c r="B17" s="2" t="inlineStr">
        <is>
          <t>SOURCES USED SO FAR</t>
        </is>
      </c>
      <c r="C17" s="3" t="inlineStr">
        <is>
          <t>[A] HCP, Note d'information sur la situation économique nationale (Comptes nationaux trimestriels), Comptes_2125_plus_note_2026.pdf  |  [B] The manuscript's own citations (S&amp;P, Office des Changes, TGR, OCP, AfDB, etc.) — see '0. Sources' sheet.</t>
        </is>
      </c>
    </row>
  </sheetData>
  <mergeCells count="1">
    <mergeCell ref="B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8" customWidth="1" min="1" max="1"/>
    <col width="46" customWidth="1" min="2" max="2"/>
    <col width="46" customWidth="1" min="3" max="3"/>
    <col width="18" customWidth="1" min="4" max="4"/>
  </cols>
  <sheetData>
    <row r="1">
      <c r="A1" s="1" t="inlineStr">
        <is>
          <t>SOURCE REGISTER — cite by ID everywhere else</t>
        </is>
      </c>
    </row>
    <row r="2">
      <c r="A2" s="8" t="inlineStr">
        <is>
          <t>ID</t>
        </is>
      </c>
      <c r="B2" s="8" t="inlineStr">
        <is>
          <t>Source</t>
        </is>
      </c>
      <c r="C2" s="8" t="inlineStr">
        <is>
          <t>URL / locator</t>
        </is>
      </c>
      <c r="D2" s="8" t="inlineStr">
        <is>
          <t>Type</t>
        </is>
      </c>
    </row>
    <row r="3">
      <c r="A3" s="9" t="inlineStr">
        <is>
          <t>A</t>
        </is>
      </c>
      <c r="B3" s="10" t="inlineStr">
        <is>
          <t>HCP — Comptes nationaux trimestriels (the PDF in this repo)</t>
        </is>
      </c>
      <c r="C3" s="10" t="inlineStr">
        <is>
          <t>Comptes_2125_plus_note_2026.pdf (84 pp)</t>
        </is>
      </c>
      <c r="D3" s="11" t="inlineStr">
        <is>
          <t>Primary</t>
        </is>
      </c>
    </row>
    <row r="4">
      <c r="A4" s="9" t="inlineStr">
        <is>
          <t>B</t>
        </is>
      </c>
      <c r="B4" s="10" t="inlineStr">
        <is>
          <t>S&amp;P Global Ratings — Morocco rating actions</t>
        </is>
      </c>
      <c r="C4" s="10" t="inlineStr">
        <is>
          <t>spglobal.com/ratings</t>
        </is>
      </c>
      <c r="D4" s="11" t="inlineStr">
        <is>
          <t>Primary</t>
        </is>
      </c>
    </row>
    <row r="5">
      <c r="A5" s="9" t="inlineStr">
        <is>
          <t>C</t>
        </is>
      </c>
      <c r="B5" s="10" t="inlineStr">
        <is>
          <t>Office des Changes — external trade &amp; FDI &amp; remittances</t>
        </is>
      </c>
      <c r="C5" s="10" t="inlineStr">
        <is>
          <t>oc.gov.ma</t>
        </is>
      </c>
      <c r="D5" s="11" t="inlineStr">
        <is>
          <t>Primary</t>
        </is>
      </c>
    </row>
    <row r="6">
      <c r="A6" s="9" t="inlineStr">
        <is>
          <t>D</t>
        </is>
      </c>
      <c r="B6" s="10" t="inlineStr">
        <is>
          <t>TGR / Ministry of Finance — Treasury bulletins</t>
        </is>
      </c>
      <c r="C6" s="10" t="inlineStr">
        <is>
          <t>tgr.gov.ma</t>
        </is>
      </c>
      <c r="D6" s="11" t="inlineStr">
        <is>
          <t>Primary</t>
        </is>
      </c>
    </row>
    <row r="7">
      <c r="A7" s="9" t="inlineStr">
        <is>
          <t>E</t>
        </is>
      </c>
      <c r="B7" s="10" t="inlineStr">
        <is>
          <t>Bank Al-Maghrib — policy rate, reserves, debt</t>
        </is>
      </c>
      <c r="C7" s="10" t="inlineStr">
        <is>
          <t>bkam.ma</t>
        </is>
      </c>
      <c r="D7" s="11" t="inlineStr">
        <is>
          <t>Primary</t>
        </is>
      </c>
    </row>
    <row r="8">
      <c r="A8" s="9" t="inlineStr">
        <is>
          <t>F</t>
        </is>
      </c>
      <c r="B8" s="10" t="inlineStr">
        <is>
          <t>IMF — Article IV Consultation Morocco</t>
        </is>
      </c>
      <c r="C8" s="10" t="inlineStr">
        <is>
          <t>imf.org</t>
        </is>
      </c>
      <c r="D8" s="11" t="inlineStr">
        <is>
          <t>Primary</t>
        </is>
      </c>
    </row>
    <row r="9">
      <c r="A9" s="9" t="inlineStr">
        <is>
          <t>G</t>
        </is>
      </c>
      <c r="B9" s="10" t="inlineStr">
        <is>
          <t>World Bank — Morocco Economic Monitor / WDI</t>
        </is>
      </c>
      <c r="C9" s="10" t="inlineStr">
        <is>
          <t>data.worldbank.org</t>
        </is>
      </c>
      <c r="D9" s="11" t="inlineStr">
        <is>
          <t>Primary</t>
        </is>
      </c>
    </row>
    <row r="10">
      <c r="A10" s="9" t="inlineStr">
        <is>
          <t>H</t>
        </is>
      </c>
      <c r="B10" s="10" t="inlineStr">
        <is>
          <t>Harvard Growth Lab — Atlas of Economic Complexity</t>
        </is>
      </c>
      <c r="C10" s="10" t="inlineStr">
        <is>
          <t>atlas.hks.harvard.edu</t>
        </is>
      </c>
      <c r="D10" s="11" t="inlineStr">
        <is>
          <t>Primary</t>
        </is>
      </c>
    </row>
    <row r="11">
      <c r="A11" s="9" t="inlineStr">
        <is>
          <t>I</t>
        </is>
      </c>
      <c r="B11" s="10" t="inlineStr">
        <is>
          <t>OECD — TiVA (domestic value added in exports)</t>
        </is>
      </c>
      <c r="C11" s="10" t="inlineStr">
        <is>
          <t>stats.oecd.org</t>
        </is>
      </c>
      <c r="D11" s="11" t="inlineStr">
        <is>
          <t>Primary</t>
        </is>
      </c>
    </row>
    <row r="12">
      <c r="A12" s="9" t="inlineStr">
        <is>
          <t>J</t>
        </is>
      </c>
      <c r="B12" s="10" t="inlineStr">
        <is>
          <t>UNCTAD — World Investment Report</t>
        </is>
      </c>
      <c r="C12" s="10" t="inlineStr">
        <is>
          <t>unctad.org</t>
        </is>
      </c>
      <c r="D12" s="11" t="inlineStr">
        <is>
          <t>Primary</t>
        </is>
      </c>
    </row>
    <row r="13">
      <c r="A13" s="9" t="inlineStr">
        <is>
          <t>K</t>
        </is>
      </c>
      <c r="B13" s="10" t="inlineStr">
        <is>
          <t>AfDB — Africa Industrialisation Index 2025</t>
        </is>
      </c>
      <c r="C13" s="10" t="inlineStr">
        <is>
          <t>afdb.org</t>
        </is>
      </c>
      <c r="D13" s="11" t="inlineStr">
        <is>
          <t>Primary</t>
        </is>
      </c>
    </row>
    <row r="14">
      <c r="A14" s="9" t="inlineStr">
        <is>
          <t>L</t>
        </is>
      </c>
      <c r="B14" s="10" t="inlineStr">
        <is>
          <t>FAO — AQUASTAT (water resources)</t>
        </is>
      </c>
      <c r="C14" s="10" t="inlineStr">
        <is>
          <t>fao.org/aquastat</t>
        </is>
      </c>
      <c r="D14" s="11" t="inlineStr">
        <is>
          <t>Primary</t>
        </is>
      </c>
    </row>
    <row r="15">
      <c r="A15" s="9" t="inlineStr">
        <is>
          <t>M</t>
        </is>
      </c>
      <c r="B15" s="10" t="inlineStr">
        <is>
          <t>OCP Group — Annual &amp; Quarterly Reports</t>
        </is>
      </c>
      <c r="C15" s="10" t="inlineStr">
        <is>
          <t>ocpgroup.ma</t>
        </is>
      </c>
      <c r="D15" s="11" t="inlineStr">
        <is>
          <t>Primary</t>
        </is>
      </c>
    </row>
    <row r="16">
      <c r="A16" s="9" t="inlineStr">
        <is>
          <t>N</t>
        </is>
      </c>
      <c r="B16" s="10" t="inlineStr">
        <is>
          <t>Tanger Med Port Authority — Annual Reports</t>
        </is>
      </c>
      <c r="C16" s="10" t="inlineStr">
        <is>
          <t>tangermed.ma</t>
        </is>
      </c>
      <c r="D16" s="11" t="inlineStr">
        <is>
          <t>Primary</t>
        </is>
      </c>
    </row>
    <row r="17">
      <c r="A17" s="9" t="inlineStr">
        <is>
          <t>O</t>
        </is>
      </c>
      <c r="B17" s="10" t="inlineStr">
        <is>
          <t>European Commission — Implementing Reg. 2025/500</t>
        </is>
      </c>
      <c r="C17" s="10" t="inlineStr">
        <is>
          <t>eur-lex.europa.eu</t>
        </is>
      </c>
      <c r="D17" s="11" t="inlineStr">
        <is>
          <t>Primary</t>
        </is>
      </c>
    </row>
    <row r="18">
      <c r="A18" s="9" t="inlineStr">
        <is>
          <t>P</t>
        </is>
      </c>
      <c r="B18" s="10" t="inlineStr">
        <is>
          <t>GIMAS / AMICA — aerospace &amp; automotive associations</t>
        </is>
      </c>
      <c r="C18" s="10" t="inlineStr">
        <is>
          <t>gimas.org / amica.ma</t>
        </is>
      </c>
      <c r="D18" s="11" t="inlineStr">
        <is>
          <t>Industry</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1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9"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8" customWidth="1" min="21" max="21"/>
    <col width="8" customWidth="1" min="22" max="22"/>
  </cols>
  <sheetData>
    <row r="1">
      <c r="A1" s="1" t="inlineStr">
        <is>
          <t>SAVINGS–INVESTMENT IDENTITY  (PRE-FILLED from HCP PDF [A])  —  gap = I − S</t>
        </is>
      </c>
    </row>
    <row r="2">
      <c r="A2" s="8" t="inlineStr">
        <is>
          <t>Indicator</t>
        </is>
      </c>
      <c r="B2" s="8" t="inlineStr">
        <is>
          <t>Unit</t>
        </is>
      </c>
      <c r="C2" s="8" t="inlineStr">
        <is>
          <t>Q1-2021</t>
        </is>
      </c>
      <c r="D2" s="8" t="inlineStr">
        <is>
          <t>Q2-2021</t>
        </is>
      </c>
      <c r="E2" s="8" t="inlineStr">
        <is>
          <t>Q3-2021</t>
        </is>
      </c>
      <c r="F2" s="8" t="inlineStr">
        <is>
          <t>Q4-2021</t>
        </is>
      </c>
      <c r="G2" s="8" t="inlineStr">
        <is>
          <t>Q1-2022</t>
        </is>
      </c>
      <c r="H2" s="8" t="inlineStr">
        <is>
          <t>Q2-2022</t>
        </is>
      </c>
      <c r="I2" s="8" t="inlineStr">
        <is>
          <t>Q3-2022</t>
        </is>
      </c>
      <c r="J2" s="8" t="inlineStr">
        <is>
          <t>Q4-2022</t>
        </is>
      </c>
      <c r="K2" s="8" t="inlineStr">
        <is>
          <t>Q1-2023</t>
        </is>
      </c>
      <c r="L2" s="8" t="inlineStr">
        <is>
          <t>Q2-2023</t>
        </is>
      </c>
      <c r="M2" s="8" t="inlineStr">
        <is>
          <t>Q3-2023</t>
        </is>
      </c>
      <c r="N2" s="8" t="inlineStr">
        <is>
          <t>Q4-2023</t>
        </is>
      </c>
      <c r="O2" s="8" t="inlineStr">
        <is>
          <t>Q1-2024</t>
        </is>
      </c>
      <c r="P2" s="8" t="inlineStr">
        <is>
          <t>Q2-2024</t>
        </is>
      </c>
      <c r="Q2" s="8" t="inlineStr">
        <is>
          <t>Q3-2024</t>
        </is>
      </c>
      <c r="R2" s="8" t="inlineStr">
        <is>
          <t>Q4-2024</t>
        </is>
      </c>
      <c r="S2" s="8" t="inlineStr">
        <is>
          <t>Q1-2025</t>
        </is>
      </c>
      <c r="T2" s="8" t="inlineStr">
        <is>
          <t>Q2-2025</t>
        </is>
      </c>
      <c r="U2" s="8" t="inlineStr">
        <is>
          <t>Q3-2025</t>
        </is>
      </c>
      <c r="V2" s="8" t="inlineStr">
        <is>
          <t>Q4-2025</t>
        </is>
      </c>
    </row>
    <row r="3">
      <c r="A3" s="12" t="inlineStr">
        <is>
          <t>National savings (S)</t>
        </is>
      </c>
      <c r="B3" s="11" t="inlineStr">
        <is>
          <t>% GDP</t>
        </is>
      </c>
      <c r="C3" s="13" t="n">
        <v>26.1</v>
      </c>
      <c r="D3" s="13" t="n">
        <v>30.5</v>
      </c>
      <c r="E3" s="13" t="n">
        <v>29.9</v>
      </c>
      <c r="F3" s="13" t="n">
        <v>31.3</v>
      </c>
      <c r="G3" s="13" t="n">
        <v>25.7</v>
      </c>
      <c r="H3" s="13" t="n">
        <v>31.4</v>
      </c>
      <c r="I3" s="13" t="n">
        <v>27.9</v>
      </c>
      <c r="J3" s="13" t="n">
        <v>28.5</v>
      </c>
      <c r="K3" s="13" t="n">
        <v>24.9</v>
      </c>
      <c r="L3" s="13" t="n">
        <v>29.5</v>
      </c>
      <c r="M3" s="13" t="n">
        <v>28.3</v>
      </c>
      <c r="N3" s="13" t="n">
        <v>26.7</v>
      </c>
      <c r="O3" s="13" t="n">
        <v>24.3</v>
      </c>
      <c r="P3" s="13" t="n">
        <v>32.1</v>
      </c>
      <c r="Q3" s="13" t="n">
        <v>26.9</v>
      </c>
      <c r="R3" s="13" t="n">
        <v>28.8</v>
      </c>
      <c r="S3" s="13" t="n">
        <v>26.8</v>
      </c>
      <c r="T3" s="13" t="n">
        <v>29.3</v>
      </c>
      <c r="U3" s="13" t="n">
        <v>29.7</v>
      </c>
      <c r="V3" s="13" t="n">
        <v>30.8</v>
      </c>
    </row>
    <row r="4">
      <c r="A4" s="12" t="inlineStr">
        <is>
          <t>Financing gap (besoin de fin.)</t>
        </is>
      </c>
      <c r="B4" s="11" t="inlineStr">
        <is>
          <t>% GDP</t>
        </is>
      </c>
      <c r="C4" s="13" t="n">
        <v>4.4</v>
      </c>
      <c r="D4" s="13" t="n">
        <v>2.9</v>
      </c>
      <c r="E4" s="13" t="n">
        <v>0.5</v>
      </c>
      <c r="F4" s="14" t="n"/>
      <c r="G4" s="13" t="n">
        <v>4.1</v>
      </c>
      <c r="H4" s="13" t="n">
        <v>2.6</v>
      </c>
      <c r="I4" s="13" t="n">
        <v>6.8</v>
      </c>
      <c r="J4" s="13" t="n">
        <v>2.1</v>
      </c>
      <c r="K4" s="14" t="n"/>
      <c r="L4" s="13" t="n">
        <v>5.2</v>
      </c>
      <c r="M4" s="13" t="n">
        <v>2.4</v>
      </c>
      <c r="N4" s="13" t="n">
        <v>2.5</v>
      </c>
      <c r="O4" s="14" t="n"/>
      <c r="P4" s="13" t="n">
        <v>1.1</v>
      </c>
      <c r="Q4" s="13" t="n">
        <v>3.8</v>
      </c>
      <c r="R4" s="13" t="n">
        <v>3.2</v>
      </c>
      <c r="S4" s="13" t="n">
        <v>2</v>
      </c>
      <c r="T4" s="13" t="n">
        <v>3.2</v>
      </c>
      <c r="U4" s="13" t="n">
        <v>2.9</v>
      </c>
      <c r="V4" s="13" t="n">
        <v>2.6</v>
      </c>
    </row>
    <row r="5">
      <c r="A5" s="12" t="inlineStr">
        <is>
          <t>Gross investment (I) = S+gap</t>
        </is>
      </c>
      <c r="B5" s="11" t="inlineStr">
        <is>
          <t>% GDP</t>
        </is>
      </c>
      <c r="C5" s="15">
        <f>IF(COUNT(C3,C4)=2,C3+C4,"")</f>
        <v/>
      </c>
      <c r="D5" s="15">
        <f>IF(COUNT(D3,D4)=2,D3+D4,"")</f>
        <v/>
      </c>
      <c r="E5" s="15">
        <f>IF(COUNT(E3,E4)=2,E3+E4,"")</f>
        <v/>
      </c>
      <c r="F5" s="15">
        <f>IF(COUNT(F3,F4)=2,F3+F4,"")</f>
        <v/>
      </c>
      <c r="G5" s="15">
        <f>IF(COUNT(G3,G4)=2,G3+G4,"")</f>
        <v/>
      </c>
      <c r="H5" s="15">
        <f>IF(COUNT(H3,H4)=2,H3+H4,"")</f>
        <v/>
      </c>
      <c r="I5" s="15">
        <f>IF(COUNT(I3,I4)=2,I3+I4,"")</f>
        <v/>
      </c>
      <c r="J5" s="15">
        <f>IF(COUNT(J3,J4)=2,J3+J4,"")</f>
        <v/>
      </c>
      <c r="K5" s="15">
        <f>IF(COUNT(K3,K4)=2,K3+K4,"")</f>
        <v/>
      </c>
      <c r="L5" s="15">
        <f>IF(COUNT(L3,L4)=2,L3+L4,"")</f>
        <v/>
      </c>
      <c r="M5" s="15">
        <f>IF(COUNT(M3,M4)=2,M3+M4,"")</f>
        <v/>
      </c>
      <c r="N5" s="15">
        <f>IF(COUNT(N3,N4)=2,N3+N4,"")</f>
        <v/>
      </c>
      <c r="O5" s="15">
        <f>IF(COUNT(O3,O4)=2,O3+O4,"")</f>
        <v/>
      </c>
      <c r="P5" s="15">
        <f>IF(COUNT(P3,P4)=2,P3+P4,"")</f>
        <v/>
      </c>
      <c r="Q5" s="15">
        <f>IF(COUNT(Q3,Q4)=2,Q3+Q4,"")</f>
        <v/>
      </c>
      <c r="R5" s="15">
        <f>IF(COUNT(R3,R4)=2,R3+R4,"")</f>
        <v/>
      </c>
      <c r="S5" s="15">
        <f>IF(COUNT(S3,S4)=2,S3+S4,"")</f>
        <v/>
      </c>
      <c r="T5" s="15">
        <f>IF(COUNT(T3,T4)=2,T3+T4,"")</f>
        <v/>
      </c>
      <c r="U5" s="15">
        <f>IF(COUNT(U3,U4)=2,U3+U4,"")</f>
        <v/>
      </c>
      <c r="V5" s="15">
        <f>IF(COUNT(V3,V4)=2,V3+V4,"")</f>
        <v/>
      </c>
    </row>
    <row r="6">
      <c r="A6" s="12" t="inlineStr">
        <is>
          <t>Investment (explicit, if stated)</t>
        </is>
      </c>
      <c r="B6" s="11" t="inlineStr">
        <is>
          <t>% GDP</t>
        </is>
      </c>
      <c r="C6" s="14" t="n"/>
      <c r="D6" s="14" t="n"/>
      <c r="E6" s="14" t="n"/>
      <c r="F6" s="14" t="n"/>
      <c r="G6" s="14" t="n"/>
      <c r="H6" s="14" t="n"/>
      <c r="I6" s="14" t="n"/>
      <c r="J6" s="14" t="n"/>
      <c r="K6" s="14" t="n"/>
      <c r="L6" s="14" t="n"/>
      <c r="M6" s="14" t="n"/>
      <c r="N6" s="14" t="n"/>
      <c r="O6" s="14" t="n"/>
      <c r="P6" s="14" t="n"/>
      <c r="Q6" s="14" t="n"/>
      <c r="R6" s="14" t="n"/>
      <c r="S6" s="14" t="n"/>
      <c r="T6" s="13" t="n">
        <v>32.5</v>
      </c>
      <c r="U6" s="13" t="n">
        <v>32.6</v>
      </c>
      <c r="V6" s="13" t="n">
        <v>33.4</v>
      </c>
    </row>
    <row r="7">
      <c r="A7" s="12" t="inlineStr">
        <is>
          <t>CHECK: explicit vs derived I</t>
        </is>
      </c>
      <c r="B7" s="11" t="inlineStr">
        <is>
          <t>flag</t>
        </is>
      </c>
      <c r="C7" s="11">
        <f>IF(COUNT(C6,C5)&lt;2,"",IF(ABS(C6-C5)&lt;=0.6,"OK","CHECK"))</f>
        <v/>
      </c>
      <c r="D7" s="11">
        <f>IF(COUNT(D6,D5)&lt;2,"",IF(ABS(D6-D5)&lt;=0.6,"OK","CHECK"))</f>
        <v/>
      </c>
      <c r="E7" s="11">
        <f>IF(COUNT(E6,E5)&lt;2,"",IF(ABS(E6-E5)&lt;=0.6,"OK","CHECK"))</f>
        <v/>
      </c>
      <c r="F7" s="11">
        <f>IF(COUNT(F6,F5)&lt;2,"",IF(ABS(F6-F5)&lt;=0.6,"OK","CHECK"))</f>
        <v/>
      </c>
      <c r="G7" s="11">
        <f>IF(COUNT(G6,G5)&lt;2,"",IF(ABS(G6-G5)&lt;=0.6,"OK","CHECK"))</f>
        <v/>
      </c>
      <c r="H7" s="11">
        <f>IF(COUNT(H6,H5)&lt;2,"",IF(ABS(H6-H5)&lt;=0.6,"OK","CHECK"))</f>
        <v/>
      </c>
      <c r="I7" s="11">
        <f>IF(COUNT(I6,I5)&lt;2,"",IF(ABS(I6-I5)&lt;=0.6,"OK","CHECK"))</f>
        <v/>
      </c>
      <c r="J7" s="11">
        <f>IF(COUNT(J6,J5)&lt;2,"",IF(ABS(J6-J5)&lt;=0.6,"OK","CHECK"))</f>
        <v/>
      </c>
      <c r="K7" s="11">
        <f>IF(COUNT(K6,K5)&lt;2,"",IF(ABS(K6-K5)&lt;=0.6,"OK","CHECK"))</f>
        <v/>
      </c>
      <c r="L7" s="11">
        <f>IF(COUNT(L6,L5)&lt;2,"",IF(ABS(L6-L5)&lt;=0.6,"OK","CHECK"))</f>
        <v/>
      </c>
      <c r="M7" s="11">
        <f>IF(COUNT(M6,M5)&lt;2,"",IF(ABS(M6-M5)&lt;=0.6,"OK","CHECK"))</f>
        <v/>
      </c>
      <c r="N7" s="11">
        <f>IF(COUNT(N6,N5)&lt;2,"",IF(ABS(N6-N5)&lt;=0.6,"OK","CHECK"))</f>
        <v/>
      </c>
      <c r="O7" s="11">
        <f>IF(COUNT(O6,O5)&lt;2,"",IF(ABS(O6-O5)&lt;=0.6,"OK","CHECK"))</f>
        <v/>
      </c>
      <c r="P7" s="11">
        <f>IF(COUNT(P6,P5)&lt;2,"",IF(ABS(P6-P5)&lt;=0.6,"OK","CHECK"))</f>
        <v/>
      </c>
      <c r="Q7" s="11">
        <f>IF(COUNT(Q6,Q5)&lt;2,"",IF(ABS(Q6-Q5)&lt;=0.6,"OK","CHECK"))</f>
        <v/>
      </c>
      <c r="R7" s="11">
        <f>IF(COUNT(R6,R5)&lt;2,"",IF(ABS(R6-R5)&lt;=0.6,"OK","CHECK"))</f>
        <v/>
      </c>
      <c r="S7" s="11">
        <f>IF(COUNT(S6,S5)&lt;2,"",IF(ABS(S6-S5)&lt;=0.6,"OK","CHECK"))</f>
        <v/>
      </c>
      <c r="T7" s="11">
        <f>IF(COUNT(T6,T5)&lt;2,"",IF(ABS(T6-T5)&lt;=0.6,"OK","CHECK"))</f>
        <v/>
      </c>
      <c r="U7" s="11">
        <f>IF(COUNT(U6,U5)&lt;2,"",IF(ABS(U6-U5)&lt;=0.6,"OK","CHECK"))</f>
        <v/>
      </c>
      <c r="V7" s="11">
        <f>IF(COUNT(V6,V5)&lt;2,"",IF(ABS(V6-V5)&lt;=0.6,"OK","CHECK"))</f>
        <v/>
      </c>
    </row>
    <row r="9">
      <c r="A9" s="16" t="inlineStr">
        <is>
          <t>ALL SAVINGS + most GAP values are confirmed from the HCP PDF (hover any blue cell for the page citation). Investment is derived as S+gap; where HCP states it explicitly (Q2/Q3/Q4-2025) the CHECK row confirms the identity holds. HEADLINE for the paper: Q4-2025 S=30.8, I=33.4, gap=2.6%. Prior quarter Q3-2025: S=29.7, I=32.6, gap=2.9%.</t>
        </is>
      </c>
    </row>
    <row r="10"/>
    <row r="11"/>
    <row r="12"/>
  </sheetData>
  <mergeCells count="2">
    <mergeCell ref="A1:V1"/>
    <mergeCell ref="A9:V12"/>
  </mergeCells>
  <conditionalFormatting sqref="C7:V7">
    <cfRule type="cellIs" priority="1" operator="equal" dxfId="0">
      <formula>"OK"</formula>
    </cfRule>
    <cfRule type="cellIs" priority="2" operator="equal" dxfId="1">
      <formula>"CHECK"</formula>
    </cfRule>
  </conditionalFormatting>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K42"/>
  <sheetViews>
    <sheetView workbookViewId="0">
      <pane ySplit="2" topLeftCell="A3" activePane="bottomLeft" state="frozen"/>
      <selection pane="bottomLeft" activeCell="A1" sqref="A1"/>
    </sheetView>
  </sheetViews>
  <sheetFormatPr baseColWidth="8" defaultRowHeight="15"/>
  <cols>
    <col width="4" customWidth="1" min="1" max="1"/>
    <col width="24" customWidth="1" min="2" max="2"/>
    <col width="32" customWidth="1" min="3" max="3"/>
    <col width="11" customWidth="1" min="4" max="4"/>
    <col width="18" customWidth="1" min="5" max="5"/>
    <col width="9" customWidth="1" min="6" max="6"/>
    <col width="26" customWidth="1" min="7" max="7"/>
    <col width="9" customWidth="1" min="8" max="8"/>
    <col width="12" customWidth="1" min="9" max="9"/>
    <col width="30" customWidth="1" min="10" max="10"/>
    <col width="16" customWidth="1" min="11" max="11"/>
  </cols>
  <sheetData>
    <row r="1">
      <c r="A1" s="1" t="inlineStr">
        <is>
          <t>MASTER INDICATOR TRACKER</t>
        </is>
      </c>
    </row>
    <row r="2">
      <c r="A2" s="8" t="inlineStr">
        <is>
          <t>#</t>
        </is>
      </c>
      <c r="B2" s="8" t="inlineStr">
        <is>
          <t>Report Part / Exhibit</t>
        </is>
      </c>
      <c r="C2" s="8" t="inlineStr">
        <is>
          <t>Indicator</t>
        </is>
      </c>
      <c r="D2" s="8" t="inlineStr">
        <is>
          <t>Unit</t>
        </is>
      </c>
      <c r="E2" s="8" t="inlineStr">
        <is>
          <t>Date range</t>
        </is>
      </c>
      <c r="F2" s="8" t="inlineStr">
        <is>
          <t>Source ID</t>
        </is>
      </c>
      <c r="G2" s="8" t="inlineStr">
        <is>
          <t>Source locator (paste)</t>
        </is>
      </c>
      <c r="H2" s="8" t="inlineStr">
        <is>
          <t>Priority</t>
        </is>
      </c>
      <c r="I2" s="8" t="inlineStr">
        <is>
          <t>Status</t>
        </is>
      </c>
      <c r="J2" s="8" t="inlineStr">
        <is>
          <t>Pre-filled value (VERIFY)</t>
        </is>
      </c>
      <c r="K2" s="8" t="inlineStr">
        <is>
          <t>Source of prefilled</t>
        </is>
      </c>
    </row>
    <row r="3">
      <c r="A3" s="11" t="n">
        <v>1</v>
      </c>
      <c r="B3" s="10" t="inlineStr">
        <is>
          <t>II/FIG-A</t>
        </is>
      </c>
      <c r="C3" s="17" t="inlineStr">
        <is>
          <t>Non-agricultural GDP growth</t>
        </is>
      </c>
      <c r="D3" s="11" t="inlineStr">
        <is>
          <t>% YoY</t>
        </is>
      </c>
      <c r="E3" s="10" t="inlineStr">
        <is>
          <t>Q1-23→Q4-25 +26F</t>
        </is>
      </c>
      <c r="F3" s="11" t="inlineStr">
        <is>
          <t>A/G</t>
        </is>
      </c>
      <c r="G3" s="18" t="n"/>
      <c r="H3" s="11" t="inlineStr">
        <is>
          <t>HIGH</t>
        </is>
      </c>
      <c r="I3" s="14" t="inlineStr">
        <is>
          <t>TODO</t>
        </is>
      </c>
      <c r="J3" s="19" t="inlineStr">
        <is>
          <t>Q1 4.6/Q2 5.5/Q3 3.8/Q4 4.0; 26F 5.0</t>
        </is>
      </c>
      <c r="K3" s="11" t="inlineStr">
        <is>
          <t>manuscript+A</t>
        </is>
      </c>
    </row>
    <row r="4">
      <c r="A4" s="11" t="n">
        <v>2</v>
      </c>
      <c r="B4" s="10" t="inlineStr">
        <is>
          <t>II/FIG-A</t>
        </is>
      </c>
      <c r="C4" s="17" t="inlineStr">
        <is>
          <t>Agricultural GDP growth</t>
        </is>
      </c>
      <c r="D4" s="11" t="inlineStr">
        <is>
          <t>% YoY</t>
        </is>
      </c>
      <c r="E4" s="10" t="inlineStr">
        <is>
          <t>Q1-23→Q4-25</t>
        </is>
      </c>
      <c r="F4" s="11" t="inlineStr">
        <is>
          <t>A</t>
        </is>
      </c>
      <c r="G4" s="18" t="n"/>
      <c r="H4" s="11" t="inlineStr">
        <is>
          <t>HIGH</t>
        </is>
      </c>
      <c r="I4" s="14" t="inlineStr">
        <is>
          <t>TODO</t>
        </is>
      </c>
      <c r="J4" s="19" t="inlineStr">
        <is>
          <t>Q2-25 +4.7; Q4-24 -4.7; Q4-25 +3.9</t>
        </is>
      </c>
      <c r="K4" s="11" t="inlineStr">
        <is>
          <t>A</t>
        </is>
      </c>
    </row>
    <row r="5">
      <c r="A5" s="11" t="n">
        <v>3</v>
      </c>
      <c r="B5" s="10" t="inlineStr">
        <is>
          <t>II/FIG-3</t>
        </is>
      </c>
      <c r="C5" s="17" t="inlineStr">
        <is>
          <t>National savings</t>
        </is>
      </c>
      <c r="D5" s="11" t="inlineStr">
        <is>
          <t>% GDP</t>
        </is>
      </c>
      <c r="E5" s="10" t="inlineStr">
        <is>
          <t>20 quarters</t>
        </is>
      </c>
      <c r="F5" s="11" t="inlineStr">
        <is>
          <t>A</t>
        </is>
      </c>
      <c r="G5" s="18" t="n"/>
      <c r="H5" s="11" t="inlineStr">
        <is>
          <t>HIGH</t>
        </is>
      </c>
      <c r="I5" s="14" t="inlineStr">
        <is>
          <t>DONE</t>
        </is>
      </c>
      <c r="J5" s="19" t="inlineStr">
        <is>
          <t>FILLED on Sheet 2 (all 20 q)</t>
        </is>
      </c>
      <c r="K5" s="11" t="inlineStr">
        <is>
          <t>A p.1-76</t>
        </is>
      </c>
    </row>
    <row r="6">
      <c r="A6" s="11" t="n">
        <v>4</v>
      </c>
      <c r="B6" s="10" t="inlineStr">
        <is>
          <t>II/FIG-3</t>
        </is>
      </c>
      <c r="C6" s="17" t="inlineStr">
        <is>
          <t>Gross investment</t>
        </is>
      </c>
      <c r="D6" s="11" t="inlineStr">
        <is>
          <t>% GDP</t>
        </is>
      </c>
      <c r="E6" s="10" t="inlineStr">
        <is>
          <t>20 quarters</t>
        </is>
      </c>
      <c r="F6" s="11" t="inlineStr">
        <is>
          <t>A</t>
        </is>
      </c>
      <c r="G6" s="18" t="n"/>
      <c r="H6" s="11" t="inlineStr">
        <is>
          <t>HIGH</t>
        </is>
      </c>
      <c r="I6" s="14" t="inlineStr">
        <is>
          <t>TODO</t>
        </is>
      </c>
      <c r="J6" s="19" t="inlineStr">
        <is>
          <t>Q4-25 33.4; Q3-25 32.6; Q2-25 32.5</t>
        </is>
      </c>
      <c r="K6" s="11" t="inlineStr">
        <is>
          <t>A</t>
        </is>
      </c>
    </row>
    <row r="7">
      <c r="A7" s="11" t="n">
        <v>5</v>
      </c>
      <c r="B7" s="10" t="inlineStr">
        <is>
          <t>II/FIG-3</t>
        </is>
      </c>
      <c r="C7" s="17" t="inlineStr">
        <is>
          <t>Financing gap</t>
        </is>
      </c>
      <c r="D7" s="11" t="inlineStr">
        <is>
          <t>% GDP</t>
        </is>
      </c>
      <c r="E7" s="10" t="inlineStr">
        <is>
          <t>20 quarters</t>
        </is>
      </c>
      <c r="F7" s="11" t="inlineStr">
        <is>
          <t>A</t>
        </is>
      </c>
      <c r="G7" s="18" t="n"/>
      <c r="H7" s="11" t="inlineStr">
        <is>
          <t>HIGH</t>
        </is>
      </c>
      <c r="I7" s="14" t="inlineStr">
        <is>
          <t>TODO</t>
        </is>
      </c>
      <c r="J7" s="19" t="inlineStr">
        <is>
          <t>Q4-25 2.6; Q3-25 2.9 (BOTH correct)</t>
        </is>
      </c>
      <c r="K7" s="11" t="inlineStr">
        <is>
          <t>A</t>
        </is>
      </c>
    </row>
    <row r="8">
      <c r="A8" s="11" t="n">
        <v>6</v>
      </c>
      <c r="B8" s="10" t="inlineStr">
        <is>
          <t>II/FIG-3b</t>
        </is>
      </c>
      <c r="C8" s="17" t="inlineStr">
        <is>
          <t>Current account balance</t>
        </is>
      </c>
      <c r="D8" s="11" t="inlineStr">
        <is>
          <t>% GDP</t>
        </is>
      </c>
      <c r="E8" s="10" t="inlineStr">
        <is>
          <t>2018→2025</t>
        </is>
      </c>
      <c r="F8" s="11" t="inlineStr">
        <is>
          <t>F/C</t>
        </is>
      </c>
      <c r="G8" s="18" t="n"/>
      <c r="H8" s="11" t="inlineStr">
        <is>
          <t>HIGH</t>
        </is>
      </c>
      <c r="I8" s="14" t="inlineStr">
        <is>
          <t>TODO</t>
        </is>
      </c>
      <c r="J8" s="18" t="inlineStr">
        <is>
          <t>find</t>
        </is>
      </c>
      <c r="K8" s="11" t="inlineStr">
        <is>
          <t>-</t>
        </is>
      </c>
    </row>
    <row r="9">
      <c r="A9" s="11" t="n">
        <v>7</v>
      </c>
      <c r="B9" s="10" t="inlineStr">
        <is>
          <t>II/FIG-3b</t>
        </is>
      </c>
      <c r="C9" s="17" t="inlineStr">
        <is>
          <t>Worker remittances (MRE)</t>
        </is>
      </c>
      <c r="D9" s="11" t="inlineStr">
        <is>
          <t>% GDP</t>
        </is>
      </c>
      <c r="E9" s="10" t="inlineStr">
        <is>
          <t>2015→2025</t>
        </is>
      </c>
      <c r="F9" s="11" t="inlineStr">
        <is>
          <t>C</t>
        </is>
      </c>
      <c r="G9" s="18" t="n"/>
      <c r="H9" s="11" t="inlineStr">
        <is>
          <t>HIGH</t>
        </is>
      </c>
      <c r="I9" s="14" t="inlineStr">
        <is>
          <t>TODO</t>
        </is>
      </c>
      <c r="J9" s="18" t="inlineStr">
        <is>
          <t>~6-7% [X] — FIND exact</t>
        </is>
      </c>
      <c r="K9" s="11" t="inlineStr">
        <is>
          <t>-</t>
        </is>
      </c>
    </row>
    <row r="10">
      <c r="A10" s="11" t="n">
        <v>8</v>
      </c>
      <c r="B10" s="10" t="inlineStr">
        <is>
          <t>II/FIG-2</t>
        </is>
      </c>
      <c r="C10" s="17" t="inlineStr">
        <is>
          <t>Net FDI inflows</t>
        </is>
      </c>
      <c r="D10" s="11" t="inlineStr">
        <is>
          <t>MAD bn</t>
        </is>
      </c>
      <c r="E10" s="10" t="inlineStr">
        <is>
          <t>2018→2025</t>
        </is>
      </c>
      <c r="F10" s="11" t="inlineStr">
        <is>
          <t>C</t>
        </is>
      </c>
      <c r="G10" s="18" t="n"/>
      <c r="H10" s="11" t="inlineStr">
        <is>
          <t>HIGH</t>
        </is>
      </c>
      <c r="I10" s="14" t="inlineStr">
        <is>
          <t>TODO</t>
        </is>
      </c>
      <c r="J10" s="19" t="inlineStr">
        <is>
          <t>2024 43.8; Q1-25 9.15 (+63.6%)</t>
        </is>
      </c>
      <c r="K10" s="11" t="inlineStr">
        <is>
          <t>manuscript</t>
        </is>
      </c>
    </row>
    <row r="11">
      <c r="A11" s="11" t="n">
        <v>9</v>
      </c>
      <c r="B11" s="10" t="inlineStr">
        <is>
          <t>II/FIG-2</t>
        </is>
      </c>
      <c r="C11" s="17" t="inlineStr">
        <is>
          <t>FDI by source country</t>
        </is>
      </c>
      <c r="D11" s="11" t="inlineStr">
        <is>
          <t>%</t>
        </is>
      </c>
      <c r="E11" s="10" t="inlineStr">
        <is>
          <t>latest yr</t>
        </is>
      </c>
      <c r="F11" s="11" t="inlineStr">
        <is>
          <t>C/J</t>
        </is>
      </c>
      <c r="G11" s="18" t="n"/>
      <c r="H11" s="11" t="inlineStr">
        <is>
          <t>HIGH</t>
        </is>
      </c>
      <c r="I11" s="14" t="inlineStr">
        <is>
          <t>TODO</t>
        </is>
      </c>
      <c r="J11" s="19" t="inlineStr">
        <is>
          <t>find split</t>
        </is>
      </c>
      <c r="K11" s="11" t="inlineStr">
        <is>
          <t>-</t>
        </is>
      </c>
    </row>
    <row r="12">
      <c r="A12" s="11" t="n">
        <v>10</v>
      </c>
      <c r="B12" s="10" t="inlineStr">
        <is>
          <t>II/FIG-4</t>
        </is>
      </c>
      <c r="C12" s="17" t="inlineStr">
        <is>
          <t>Public debt</t>
        </is>
      </c>
      <c r="D12" s="11" t="inlineStr">
        <is>
          <t>% GDP</t>
        </is>
      </c>
      <c r="E12" s="10" t="inlineStr">
        <is>
          <t>2005→2025</t>
        </is>
      </c>
      <c r="F12" s="11" t="inlineStr">
        <is>
          <t>E/F</t>
        </is>
      </c>
      <c r="G12" s="18" t="n"/>
      <c r="H12" s="11" t="inlineStr">
        <is>
          <t>HIGH</t>
        </is>
      </c>
      <c r="I12" s="14" t="inlineStr">
        <is>
          <t>TODO</t>
        </is>
      </c>
      <c r="J12" s="19" t="inlineStr">
        <is>
          <t>14:58.6;21:~72;23:68.7;24:70;25:67.2</t>
        </is>
      </c>
      <c r="K12" s="11" t="inlineStr">
        <is>
          <t>manuscript</t>
        </is>
      </c>
    </row>
    <row r="13">
      <c r="A13" s="11" t="n">
        <v>11</v>
      </c>
      <c r="B13" s="10" t="inlineStr">
        <is>
          <t>II/FIG-5</t>
        </is>
      </c>
      <c r="C13" s="17" t="inlineStr">
        <is>
          <t>Total net public revenue</t>
        </is>
      </c>
      <c r="D13" s="11" t="inlineStr">
        <is>
          <t>MAD bn</t>
        </is>
      </c>
      <c r="E13" s="10" t="inlineStr">
        <is>
          <t>2021→2025</t>
        </is>
      </c>
      <c r="F13" s="11" t="inlineStr">
        <is>
          <t>D</t>
        </is>
      </c>
      <c r="G13" s="18" t="n"/>
      <c r="H13" s="11" t="inlineStr">
        <is>
          <t>HIGH</t>
        </is>
      </c>
      <c r="I13" s="14" t="inlineStr">
        <is>
          <t>TODO</t>
        </is>
      </c>
      <c r="J13" s="19" t="inlineStr">
        <is>
          <t>2025 424.1 (+14.2%)</t>
        </is>
      </c>
      <c r="K13" s="11" t="inlineStr">
        <is>
          <t>manuscript</t>
        </is>
      </c>
    </row>
    <row r="14">
      <c r="A14" s="11" t="n">
        <v>12</v>
      </c>
      <c r="B14" s="10" t="inlineStr">
        <is>
          <t>II/FIG-5</t>
        </is>
      </c>
      <c r="C14" s="17" t="inlineStr">
        <is>
          <t>CIT total</t>
        </is>
      </c>
      <c r="D14" s="11" t="inlineStr">
        <is>
          <t>MAD bn</t>
        </is>
      </c>
      <c r="E14" s="10" t="inlineStr">
        <is>
          <t>2021→2025</t>
        </is>
      </c>
      <c r="F14" s="11" t="inlineStr">
        <is>
          <t>D</t>
        </is>
      </c>
      <c r="G14" s="18" t="n"/>
      <c r="H14" s="11" t="inlineStr">
        <is>
          <t>HIGH</t>
        </is>
      </c>
      <c r="I14" s="14" t="inlineStr">
        <is>
          <t>TODO</t>
        </is>
      </c>
      <c r="J14" s="19" t="inlineStr">
        <is>
          <t>2024 71.1→2025 91.4 (+28.6%)</t>
        </is>
      </c>
      <c r="K14" s="11" t="inlineStr">
        <is>
          <t>manuscript</t>
        </is>
      </c>
    </row>
    <row r="15">
      <c r="A15" s="11" t="n">
        <v>13</v>
      </c>
      <c r="B15" s="10" t="inlineStr">
        <is>
          <t>II/FIG-5</t>
        </is>
      </c>
      <c r="C15" s="17" t="inlineStr">
        <is>
          <t>CIT one-off regularization</t>
        </is>
      </c>
      <c r="D15" s="11" t="inlineStr">
        <is>
          <t>MAD bn</t>
        </is>
      </c>
      <c r="E15" s="10" t="inlineStr">
        <is>
          <t>2025</t>
        </is>
      </c>
      <c r="F15" s="11" t="inlineStr">
        <is>
          <t>D</t>
        </is>
      </c>
      <c r="G15" s="18" t="n"/>
      <c r="H15" s="11" t="inlineStr">
        <is>
          <t>HIGH</t>
        </is>
      </c>
      <c r="I15" s="14" t="inlineStr">
        <is>
          <t>TODO</t>
        </is>
      </c>
      <c r="J15" s="19" t="inlineStr">
        <is>
          <t>20.0 (amnesty)</t>
        </is>
      </c>
      <c r="K15" s="11" t="inlineStr">
        <is>
          <t>manuscript</t>
        </is>
      </c>
    </row>
    <row r="16">
      <c r="A16" s="11" t="n">
        <v>14</v>
      </c>
      <c r="B16" s="10" t="inlineStr">
        <is>
          <t>II/FIG-5</t>
        </is>
      </c>
      <c r="C16" s="17" t="inlineStr">
        <is>
          <t>Budget deficit</t>
        </is>
      </c>
      <c r="D16" s="11" t="inlineStr">
        <is>
          <t>% GDP</t>
        </is>
      </c>
      <c r="E16" s="10" t="inlineStr">
        <is>
          <t>2021→26F</t>
        </is>
      </c>
      <c r="F16" s="11" t="inlineStr">
        <is>
          <t>D/B</t>
        </is>
      </c>
      <c r="G16" s="18" t="n"/>
      <c r="H16" s="11" t="inlineStr">
        <is>
          <t>HIGH</t>
        </is>
      </c>
      <c r="I16" s="14" t="inlineStr">
        <is>
          <t>TODO</t>
        </is>
      </c>
      <c r="J16" s="19" t="inlineStr">
        <is>
          <t>2025 3.5 (NOT 3.6); 26F 3.8</t>
        </is>
      </c>
      <c r="K16" s="11" t="inlineStr">
        <is>
          <t>manuscript</t>
        </is>
      </c>
    </row>
    <row r="17">
      <c r="A17" s="11" t="n">
        <v>15</v>
      </c>
      <c r="B17" s="10" t="inlineStr">
        <is>
          <t>II/FIG-6</t>
        </is>
      </c>
      <c r="C17" s="17" t="inlineStr">
        <is>
          <t>CPI inflation</t>
        </is>
      </c>
      <c r="D17" s="11" t="inlineStr">
        <is>
          <t>% YoY</t>
        </is>
      </c>
      <c r="E17" s="10" t="inlineStr">
        <is>
          <t>Jan21→Apr26</t>
        </is>
      </c>
      <c r="F17" s="11" t="inlineStr">
        <is>
          <t>A/G</t>
        </is>
      </c>
      <c r="G17" s="18" t="n"/>
      <c r="H17" s="11" t="inlineStr">
        <is>
          <t>HIGH</t>
        </is>
      </c>
      <c r="I17" s="14" t="inlineStr">
        <is>
          <t>TODO</t>
        </is>
      </c>
      <c r="J17" s="19" t="inlineStr">
        <is>
          <t>22:6.6;Feb23 10.1;24:0.9;25:0.8;Q1-26 -0.1;Apr26 1.7</t>
        </is>
      </c>
      <c r="K17" s="11" t="inlineStr">
        <is>
          <t>manuscript</t>
        </is>
      </c>
    </row>
    <row r="18">
      <c r="A18" s="11" t="n">
        <v>16</v>
      </c>
      <c r="B18" s="10" t="inlineStr">
        <is>
          <t>II/FIG-6</t>
        </is>
      </c>
      <c r="C18" s="17" t="inlineStr">
        <is>
          <t>BAM key rate</t>
        </is>
      </c>
      <c r="D18" s="11" t="inlineStr">
        <is>
          <t>%</t>
        </is>
      </c>
      <c r="E18" s="10" t="inlineStr">
        <is>
          <t>Jan21→Mar26</t>
        </is>
      </c>
      <c r="F18" s="11" t="inlineStr">
        <is>
          <t>E</t>
        </is>
      </c>
      <c r="G18" s="18" t="n"/>
      <c r="H18" s="11" t="inlineStr">
        <is>
          <t>HIGH</t>
        </is>
      </c>
      <c r="I18" s="14" t="inlineStr">
        <is>
          <t>TODO</t>
        </is>
      </c>
      <c r="J18" s="19" t="inlineStr">
        <is>
          <t>hiked 3.0; cut to 2.25 held</t>
        </is>
      </c>
      <c r="K18" s="11" t="inlineStr">
        <is>
          <t>manuscript</t>
        </is>
      </c>
    </row>
    <row r="19">
      <c r="A19" s="11" t="n">
        <v>17</v>
      </c>
      <c r="B19" s="10" t="inlineStr">
        <is>
          <t>II</t>
        </is>
      </c>
      <c r="C19" s="17" t="inlineStr">
        <is>
          <t>S&amp;P rating</t>
        </is>
      </c>
      <c r="D19" s="11" t="inlineStr">
        <is>
          <t>notch</t>
        </is>
      </c>
      <c r="E19" s="10" t="inlineStr">
        <is>
          <t>2017→2026</t>
        </is>
      </c>
      <c r="F19" s="11" t="inlineStr">
        <is>
          <t>B</t>
        </is>
      </c>
      <c r="G19" s="18" t="n"/>
      <c r="H19" s="11" t="inlineStr">
        <is>
          <t>HIGH</t>
        </is>
      </c>
      <c r="I19" s="14" t="inlineStr">
        <is>
          <t>TODO</t>
        </is>
      </c>
      <c r="J19" s="19" t="inlineStr">
        <is>
          <t>BBB- Sep-2025; affirmed Mar-2026</t>
        </is>
      </c>
      <c r="K19" s="11" t="inlineStr">
        <is>
          <t>manuscript</t>
        </is>
      </c>
    </row>
    <row r="20">
      <c r="A20" s="11" t="n">
        <v>18</v>
      </c>
      <c r="B20" s="10" t="inlineStr">
        <is>
          <t>III/FIG-7</t>
        </is>
      </c>
      <c r="C20" s="17" t="inlineStr">
        <is>
          <t>REER</t>
        </is>
      </c>
      <c r="D20" s="11" t="inlineStr">
        <is>
          <t>index</t>
        </is>
      </c>
      <c r="E20" s="10" t="inlineStr">
        <is>
          <t>2005→2025</t>
        </is>
      </c>
      <c r="F20" s="11" t="inlineStr">
        <is>
          <t>F</t>
        </is>
      </c>
      <c r="G20" s="18" t="n"/>
      <c r="H20" s="11" t="inlineStr">
        <is>
          <t>MED</t>
        </is>
      </c>
      <c r="I20" s="14" t="inlineStr">
        <is>
          <t>TODO</t>
        </is>
      </c>
      <c r="J20" s="18" t="inlineStr">
        <is>
          <t>find</t>
        </is>
      </c>
      <c r="K20" s="11" t="inlineStr">
        <is>
          <t>-</t>
        </is>
      </c>
    </row>
    <row r="21">
      <c r="A21" s="11" t="n">
        <v>19</v>
      </c>
      <c r="B21" s="10" t="inlineStr">
        <is>
          <t>III/FIG-10</t>
        </is>
      </c>
      <c r="C21" s="17" t="inlineStr">
        <is>
          <t>FX reserves</t>
        </is>
      </c>
      <c r="D21" s="11" t="inlineStr">
        <is>
          <t>USD bn</t>
        </is>
      </c>
      <c r="E21" s="10" t="inlineStr">
        <is>
          <t>2018→2025</t>
        </is>
      </c>
      <c r="F21" s="11" t="inlineStr">
        <is>
          <t>E</t>
        </is>
      </c>
      <c r="G21" s="18" t="n"/>
      <c r="H21" s="11" t="inlineStr">
        <is>
          <t>HIGH</t>
        </is>
      </c>
      <c r="I21" s="14" t="inlineStr">
        <is>
          <t>TODO</t>
        </is>
      </c>
      <c r="J21" s="19" t="inlineStr">
        <is>
          <t>~50 (2025)</t>
        </is>
      </c>
      <c r="K21" s="11" t="inlineStr">
        <is>
          <t>manuscript</t>
        </is>
      </c>
    </row>
    <row r="22">
      <c r="A22" s="11" t="n">
        <v>20</v>
      </c>
      <c r="B22" s="10" t="inlineStr">
        <is>
          <t>III/FIG-10</t>
        </is>
      </c>
      <c r="C22" s="17" t="inlineStr">
        <is>
          <t>Import cover</t>
        </is>
      </c>
      <c r="D22" s="11" t="inlineStr">
        <is>
          <t>months</t>
        </is>
      </c>
      <c r="E22" s="10" t="inlineStr">
        <is>
          <t>2018→2025</t>
        </is>
      </c>
      <c r="F22" s="11" t="inlineStr">
        <is>
          <t>E</t>
        </is>
      </c>
      <c r="G22" s="18" t="n"/>
      <c r="H22" s="11" t="inlineStr">
        <is>
          <t>HIGH</t>
        </is>
      </c>
      <c r="I22" s="14" t="inlineStr">
        <is>
          <t>TODO</t>
        </is>
      </c>
      <c r="J22" s="19" t="inlineStr">
        <is>
          <t>~6 (NOT 5.5)</t>
        </is>
      </c>
      <c r="K22" s="11" t="inlineStr">
        <is>
          <t>manuscript</t>
        </is>
      </c>
    </row>
    <row r="23">
      <c r="A23" s="11" t="n">
        <v>21</v>
      </c>
      <c r="B23" s="10" t="inlineStr">
        <is>
          <t>III</t>
        </is>
      </c>
      <c r="C23" s="17" t="inlineStr">
        <is>
          <t>Dirham basket</t>
        </is>
      </c>
      <c r="D23" s="11" t="inlineStr">
        <is>
          <t>% EUR/USD</t>
        </is>
      </c>
      <c r="E23" s="10" t="inlineStr">
        <is>
          <t>current</t>
        </is>
      </c>
      <c r="F23" s="11" t="inlineStr">
        <is>
          <t>E</t>
        </is>
      </c>
      <c r="G23" s="18" t="n"/>
      <c r="H23" s="11" t="inlineStr">
        <is>
          <t>MED</t>
        </is>
      </c>
      <c r="I23" s="14" t="inlineStr">
        <is>
          <t>TODO</t>
        </is>
      </c>
      <c r="J23" s="19" t="inlineStr">
        <is>
          <t>60/40</t>
        </is>
      </c>
      <c r="K23" s="11" t="inlineStr">
        <is>
          <t>manuscript</t>
        </is>
      </c>
    </row>
    <row r="24">
      <c r="A24" s="11" t="n">
        <v>22</v>
      </c>
      <c r="B24" s="10" t="inlineStr">
        <is>
          <t>III</t>
        </is>
      </c>
      <c r="C24" s="17" t="inlineStr">
        <is>
          <t>Band width</t>
        </is>
      </c>
      <c r="D24" s="11" t="inlineStr">
        <is>
          <t>±%</t>
        </is>
      </c>
      <c r="E24" s="10" t="inlineStr">
        <is>
          <t>17/18/20</t>
        </is>
      </c>
      <c r="F24" s="11" t="inlineStr">
        <is>
          <t>E</t>
        </is>
      </c>
      <c r="G24" s="18" t="n"/>
      <c r="H24" s="11" t="inlineStr">
        <is>
          <t>MED</t>
        </is>
      </c>
      <c r="I24" s="14" t="inlineStr">
        <is>
          <t>TODO</t>
        </is>
      </c>
      <c r="J24" s="19" t="inlineStr">
        <is>
          <t>0.3→2.5→5.0</t>
        </is>
      </c>
      <c r="K24" s="11" t="inlineStr">
        <is>
          <t>manuscript</t>
        </is>
      </c>
    </row>
    <row r="25">
      <c r="A25" s="11" t="n">
        <v>23</v>
      </c>
      <c r="B25" s="10" t="inlineStr">
        <is>
          <t>IV/FIG-11</t>
        </is>
      </c>
      <c r="C25" s="17" t="inlineStr">
        <is>
          <t>Exports to EU</t>
        </is>
      </c>
      <c r="D25" s="11" t="inlineStr">
        <is>
          <t>EUR bn</t>
        </is>
      </c>
      <c r="E25" s="10" t="inlineStr">
        <is>
          <t>2025</t>
        </is>
      </c>
      <c r="F25" s="11" t="inlineStr">
        <is>
          <t>C</t>
        </is>
      </c>
      <c r="G25" s="18" t="n"/>
      <c r="H25" s="11" t="inlineStr">
        <is>
          <t>MED</t>
        </is>
      </c>
      <c r="I25" s="14" t="inlineStr">
        <is>
          <t>TODO</t>
        </is>
      </c>
      <c r="J25" s="19" t="inlineStr">
        <is>
          <t>&gt;26 (one-third)</t>
        </is>
      </c>
      <c r="K25" s="11" t="inlineStr">
        <is>
          <t>manuscript</t>
        </is>
      </c>
    </row>
    <row r="26">
      <c r="A26" s="11" t="n">
        <v>24</v>
      </c>
      <c r="B26" s="10" t="inlineStr">
        <is>
          <t>V/FIG-12</t>
        </is>
      </c>
      <c r="C26" s="17" t="inlineStr">
        <is>
          <t>Tanger Med throughput</t>
        </is>
      </c>
      <c r="D26" s="11" t="inlineStr">
        <is>
          <t>mn TEU</t>
        </is>
      </c>
      <c r="E26" s="10" t="inlineStr">
        <is>
          <t>2008→2025</t>
        </is>
      </c>
      <c r="F26" s="11" t="inlineStr">
        <is>
          <t>N</t>
        </is>
      </c>
      <c r="G26" s="18" t="n"/>
      <c r="H26" s="11" t="inlineStr">
        <is>
          <t>HIGH</t>
        </is>
      </c>
      <c r="I26" s="14" t="inlineStr">
        <is>
          <t>TODO</t>
        </is>
      </c>
      <c r="J26" s="19" t="inlineStr">
        <is>
          <t>&gt;9 (2025); find series</t>
        </is>
      </c>
      <c r="K26" s="11" t="inlineStr">
        <is>
          <t>manuscript</t>
        </is>
      </c>
    </row>
    <row r="27">
      <c r="A27" s="11" t="n">
        <v>25</v>
      </c>
      <c r="B27" s="10" t="inlineStr">
        <is>
          <t>V/FIG-13</t>
        </is>
      </c>
      <c r="C27" s="17" t="inlineStr">
        <is>
          <t>Highway network</t>
        </is>
      </c>
      <c r="D27" s="11" t="inlineStr">
        <is>
          <t>km</t>
        </is>
      </c>
      <c r="E27" s="10" t="inlineStr">
        <is>
          <t>1990→2025</t>
        </is>
      </c>
      <c r="F27" s="11" t="inlineStr">
        <is>
          <t>E/gov</t>
        </is>
      </c>
      <c r="G27" s="18" t="n"/>
      <c r="H27" s="11" t="inlineStr">
        <is>
          <t>MED</t>
        </is>
      </c>
      <c r="I27" s="14" t="inlineStr">
        <is>
          <t>TODO</t>
        </is>
      </c>
      <c r="J27" s="19" t="inlineStr">
        <is>
          <t>400→1800</t>
        </is>
      </c>
      <c r="K27" s="11" t="inlineStr">
        <is>
          <t>manuscript</t>
        </is>
      </c>
    </row>
    <row r="28">
      <c r="A28" s="11" t="n">
        <v>26</v>
      </c>
      <c r="B28" s="10" t="inlineStr">
        <is>
          <t>VI/FIG-14</t>
        </is>
      </c>
      <c r="C28" s="17" t="inlineStr">
        <is>
          <t>Automotive exports</t>
        </is>
      </c>
      <c r="D28" s="11" t="inlineStr">
        <is>
          <t>MAD bn</t>
        </is>
      </c>
      <c r="E28" s="10" t="inlineStr">
        <is>
          <t>2014→2025</t>
        </is>
      </c>
      <c r="F28" s="11" t="inlineStr">
        <is>
          <t>C/P</t>
        </is>
      </c>
      <c r="G28" s="18" t="n"/>
      <c r="H28" s="11" t="inlineStr">
        <is>
          <t>HIGH</t>
        </is>
      </c>
      <c r="I28" s="14" t="inlineStr">
        <is>
          <t>TODO</t>
        </is>
      </c>
      <c r="J28" s="19" t="inlineStr">
        <is>
          <t>2024 157; 9M-25 112.2 (-2.7%)</t>
        </is>
      </c>
      <c r="K28" s="11" t="inlineStr">
        <is>
          <t>manuscript</t>
        </is>
      </c>
    </row>
    <row r="29">
      <c r="A29" s="11" t="n">
        <v>27</v>
      </c>
      <c r="B29" s="10" t="inlineStr">
        <is>
          <t>VI/FIG-15</t>
        </is>
      </c>
      <c r="C29" s="17" t="inlineStr">
        <is>
          <t>Aerospace exports</t>
        </is>
      </c>
      <c r="D29" s="11" t="inlineStr">
        <is>
          <t>MAD bn</t>
        </is>
      </c>
      <c r="E29" s="10" t="inlineStr">
        <is>
          <t>2004→2025</t>
        </is>
      </c>
      <c r="F29" s="11" t="inlineStr">
        <is>
          <t>C/P</t>
        </is>
      </c>
      <c r="G29" s="18" t="n"/>
      <c r="H29" s="11" t="inlineStr">
        <is>
          <t>HIGH</t>
        </is>
      </c>
      <c r="I29" s="14" t="inlineStr">
        <is>
          <t>TODO</t>
        </is>
      </c>
      <c r="J29" s="19" t="inlineStr">
        <is>
          <t>2004&lt;1→2024 26.45; H1-25 14.13</t>
        </is>
      </c>
      <c r="K29" s="11" t="inlineStr">
        <is>
          <t>manuscript</t>
        </is>
      </c>
    </row>
    <row r="30">
      <c r="A30" s="11" t="n">
        <v>28</v>
      </c>
      <c r="B30" s="10" t="inlineStr">
        <is>
          <t>VI/FIG-16</t>
        </is>
      </c>
      <c r="C30" s="17" t="inlineStr">
        <is>
          <t>OCP revenue &amp; mix</t>
        </is>
      </c>
      <c r="D30" s="11" t="inlineStr">
        <is>
          <t>MAD bn/%</t>
        </is>
      </c>
      <c r="E30" s="10" t="inlineStr">
        <is>
          <t>2014→2025</t>
        </is>
      </c>
      <c r="F30" s="11" t="inlineStr">
        <is>
          <t>M</t>
        </is>
      </c>
      <c r="G30" s="18" t="n"/>
      <c r="H30" s="11" t="inlineStr">
        <is>
          <t>HIGH</t>
        </is>
      </c>
      <c r="I30" s="14" t="inlineStr">
        <is>
          <t>TODO</t>
        </is>
      </c>
      <c r="J30" s="19" t="inlineStr">
        <is>
          <t>2024 96.99 (69% fert); 9M-25 $9.04bn</t>
        </is>
      </c>
      <c r="K30" s="11" t="inlineStr">
        <is>
          <t>manuscript</t>
        </is>
      </c>
    </row>
    <row r="31">
      <c r="A31" s="11" t="n">
        <v>29</v>
      </c>
      <c r="B31" s="10" t="inlineStr">
        <is>
          <t>VI/FIG-16b</t>
        </is>
      </c>
      <c r="C31" s="17" t="inlineStr">
        <is>
          <t>ECI rank</t>
        </is>
      </c>
      <c r="D31" s="11" t="inlineStr">
        <is>
          <t>rank</t>
        </is>
      </c>
      <c r="E31" s="10" t="inlineStr">
        <is>
          <t>2000→2023</t>
        </is>
      </c>
      <c r="F31" s="11" t="inlineStr">
        <is>
          <t>H</t>
        </is>
      </c>
      <c r="G31" s="18" t="n"/>
      <c r="H31" s="11" t="inlineStr">
        <is>
          <t>HIGH</t>
        </is>
      </c>
      <c r="I31" s="14" t="inlineStr">
        <is>
          <t>TODO</t>
        </is>
      </c>
      <c r="J31" s="18" t="inlineStr">
        <is>
          <t>GET ACTUAL + verify direction</t>
        </is>
      </c>
      <c r="K31" s="11" t="inlineStr">
        <is>
          <t>-</t>
        </is>
      </c>
    </row>
    <row r="32">
      <c r="A32" s="11" t="n">
        <v>30</v>
      </c>
      <c r="B32" s="10" t="inlineStr">
        <is>
          <t>VI/FIG-16c</t>
        </is>
      </c>
      <c r="C32" s="17" t="inlineStr">
        <is>
          <t>Domestic VA in exports</t>
        </is>
      </c>
      <c r="D32" s="11" t="inlineStr">
        <is>
          <t>%</t>
        </is>
      </c>
      <c r="E32" s="10" t="inlineStr">
        <is>
          <t>latest</t>
        </is>
      </c>
      <c r="F32" s="11" t="inlineStr">
        <is>
          <t>I</t>
        </is>
      </c>
      <c r="G32" s="18" t="n"/>
      <c r="H32" s="11" t="inlineStr">
        <is>
          <t>HIGH</t>
        </is>
      </c>
      <c r="I32" s="14" t="inlineStr">
        <is>
          <t>TODO</t>
        </is>
      </c>
      <c r="J32" s="19" t="inlineStr">
        <is>
          <t>find (≠LIR)</t>
        </is>
      </c>
      <c r="K32" s="11" t="inlineStr">
        <is>
          <t>-</t>
        </is>
      </c>
    </row>
    <row r="33">
      <c r="A33" s="11" t="n">
        <v>31</v>
      </c>
      <c r="B33" s="10" t="inlineStr">
        <is>
          <t>VI</t>
        </is>
      </c>
      <c r="C33" s="17" t="inlineStr">
        <is>
          <t>LIR auto/aero</t>
        </is>
      </c>
      <c r="D33" s="11" t="inlineStr">
        <is>
          <t>%</t>
        </is>
      </c>
      <c r="E33" s="10" t="inlineStr">
        <is>
          <t>current</t>
        </is>
      </c>
      <c r="F33" s="11" t="inlineStr">
        <is>
          <t>P</t>
        </is>
      </c>
      <c r="G33" s="18" t="n"/>
      <c r="H33" s="11" t="inlineStr">
        <is>
          <t>MED</t>
        </is>
      </c>
      <c r="I33" s="14" t="inlineStr">
        <is>
          <t>TODO</t>
        </is>
      </c>
      <c r="J33" s="19" t="inlineStr">
        <is>
          <t>auto&gt;65; aero&gt;40 (target/achieved?)</t>
        </is>
      </c>
      <c r="K33" s="11" t="inlineStr">
        <is>
          <t>manuscript</t>
        </is>
      </c>
    </row>
    <row r="34">
      <c r="A34" s="11" t="n">
        <v>32</v>
      </c>
      <c r="B34" s="10" t="inlineStr">
        <is>
          <t>VII/FIG-17</t>
        </is>
      </c>
      <c r="C34" s="17" t="inlineStr">
        <is>
          <t>Chinese FDI by firm</t>
        </is>
      </c>
      <c r="D34" s="11" t="inlineStr">
        <is>
          <t>USD m</t>
        </is>
      </c>
      <c r="E34" s="10" t="inlineStr">
        <is>
          <t>2023→2025</t>
        </is>
      </c>
      <c r="F34" s="11" t="inlineStr">
        <is>
          <t>J/press</t>
        </is>
      </c>
      <c r="G34" s="18" t="n"/>
      <c r="H34" s="11" t="inlineStr">
        <is>
          <t>HIGH</t>
        </is>
      </c>
      <c r="I34" s="14" t="inlineStr">
        <is>
          <t>TODO</t>
        </is>
      </c>
      <c r="J34" s="19" t="inlineStr">
        <is>
          <t>Gotion1.3bn;Shinzoom690m;BTR300m;APG70m</t>
        </is>
      </c>
      <c r="K34" s="11" t="inlineStr">
        <is>
          <t>manuscript</t>
        </is>
      </c>
    </row>
    <row r="35">
      <c r="A35" s="11" t="n">
        <v>33</v>
      </c>
      <c r="B35" s="10" t="inlineStr">
        <is>
          <t>VII/FIG-18</t>
        </is>
      </c>
      <c r="C35" s="17" t="inlineStr">
        <is>
          <t>EU duties Al wheels</t>
        </is>
      </c>
      <c r="D35" s="11" t="inlineStr">
        <is>
          <t>%</t>
        </is>
      </c>
      <c r="E35" s="10" t="inlineStr">
        <is>
          <t>2023&amp;2025</t>
        </is>
      </c>
      <c r="F35" s="11" t="inlineStr">
        <is>
          <t>O</t>
        </is>
      </c>
      <c r="G35" s="18" t="n"/>
      <c r="H35" s="11" t="inlineStr">
        <is>
          <t>HIGH</t>
        </is>
      </c>
      <c r="I35" s="14" t="inlineStr">
        <is>
          <t>TODO</t>
        </is>
      </c>
      <c r="J35" s="19" t="inlineStr">
        <is>
          <t>Dika31.45;Hands5.60;AD9-17.5</t>
        </is>
      </c>
      <c r="K35" s="11" t="inlineStr">
        <is>
          <t>manuscript</t>
        </is>
      </c>
    </row>
    <row r="36">
      <c r="A36" s="11" t="n">
        <v>34</v>
      </c>
      <c r="B36" s="10" t="inlineStr">
        <is>
          <t>VIII/FIG-20</t>
        </is>
      </c>
      <c r="C36" s="17" t="inlineStr">
        <is>
          <t>AfDB Industrialisation index</t>
        </is>
      </c>
      <c r="D36" s="11" t="inlineStr">
        <is>
          <t>score</t>
        </is>
      </c>
      <c r="E36" s="10" t="inlineStr">
        <is>
          <t>2025</t>
        </is>
      </c>
      <c r="F36" s="11" t="inlineStr">
        <is>
          <t>K</t>
        </is>
      </c>
      <c r="G36" s="18" t="n"/>
      <c r="H36" s="11" t="inlineStr">
        <is>
          <t>HIGH</t>
        </is>
      </c>
      <c r="I36" s="14" t="inlineStr">
        <is>
          <t>TODO</t>
        </is>
      </c>
      <c r="J36" s="19" t="inlineStr">
        <is>
          <t>MA0.8415;SA0.8396</t>
        </is>
      </c>
      <c r="K36" s="11" t="inlineStr">
        <is>
          <t>manuscript</t>
        </is>
      </c>
    </row>
    <row r="37">
      <c r="A37" s="11" t="n">
        <v>35</v>
      </c>
      <c r="B37" s="10" t="inlineStr">
        <is>
          <t>VIII</t>
        </is>
      </c>
      <c r="C37" s="17" t="inlineStr">
        <is>
          <t>SA load-shedding days</t>
        </is>
      </c>
      <c r="D37" s="11" t="inlineStr">
        <is>
          <t>days</t>
        </is>
      </c>
      <c r="E37" s="10" t="inlineStr">
        <is>
          <t>2022&amp;2023</t>
        </is>
      </c>
      <c r="F37" s="11" t="inlineStr">
        <is>
          <t>ext</t>
        </is>
      </c>
      <c r="G37" s="18" t="n"/>
      <c r="H37" s="11" t="inlineStr">
        <is>
          <t>MED</t>
        </is>
      </c>
      <c r="I37" s="14" t="inlineStr">
        <is>
          <t>TODO</t>
        </is>
      </c>
      <c r="J37" s="19" t="inlineStr">
        <is>
          <t>205;335</t>
        </is>
      </c>
      <c r="K37" s="11" t="inlineStr">
        <is>
          <t>manuscript</t>
        </is>
      </c>
    </row>
    <row r="38">
      <c r="A38" s="11" t="n">
        <v>36</v>
      </c>
      <c r="B38" s="10" t="inlineStr">
        <is>
          <t>IX/FIG-21</t>
        </is>
      </c>
      <c r="C38" s="17" t="inlineStr">
        <is>
          <t>Youth unemployment</t>
        </is>
      </c>
      <c r="D38" s="11" t="inlineStr">
        <is>
          <t>%</t>
        </is>
      </c>
      <c r="E38" s="10" t="inlineStr">
        <is>
          <t>Q1-2025</t>
        </is>
      </c>
      <c r="F38" s="11" t="inlineStr">
        <is>
          <t>A/G</t>
        </is>
      </c>
      <c r="G38" s="18" t="n"/>
      <c r="H38" s="11" t="inlineStr">
        <is>
          <t>HIGH</t>
        </is>
      </c>
      <c r="I38" s="14" t="inlineStr">
        <is>
          <t>TODO</t>
        </is>
      </c>
      <c r="J38" s="19" t="inlineStr">
        <is>
          <t>37.7</t>
        </is>
      </c>
      <c r="K38" s="11" t="inlineStr">
        <is>
          <t>manuscript</t>
        </is>
      </c>
    </row>
    <row r="39">
      <c r="A39" s="11" t="n">
        <v>37</v>
      </c>
      <c r="B39" s="10" t="inlineStr">
        <is>
          <t>IX</t>
        </is>
      </c>
      <c r="C39" s="17" t="inlineStr">
        <is>
          <t>Female LFP</t>
        </is>
      </c>
      <c r="D39" s="11" t="inlineStr">
        <is>
          <t>%</t>
        </is>
      </c>
      <c r="E39" s="10" t="inlineStr">
        <is>
          <t>2015→2025</t>
        </is>
      </c>
      <c r="F39" s="11" t="inlineStr">
        <is>
          <t>A/G</t>
        </is>
      </c>
      <c r="G39" s="18" t="n"/>
      <c r="H39" s="11" t="inlineStr">
        <is>
          <t>HIGH</t>
        </is>
      </c>
      <c r="I39" s="14" t="inlineStr">
        <is>
          <t>TODO</t>
        </is>
      </c>
      <c r="J39" s="18" t="inlineStr">
        <is>
          <t>~19% [X] FIND</t>
        </is>
      </c>
      <c r="K39" s="11" t="inlineStr">
        <is>
          <t>-</t>
        </is>
      </c>
    </row>
    <row r="40">
      <c r="A40" s="11" t="n">
        <v>38</v>
      </c>
      <c r="B40" s="10" t="inlineStr">
        <is>
          <t>IX/FIG-22</t>
        </is>
      </c>
      <c r="C40" s="17" t="inlineStr">
        <is>
          <t>Freshwater per capita</t>
        </is>
      </c>
      <c r="D40" s="11" t="inlineStr">
        <is>
          <t>m3/yr</t>
        </is>
      </c>
      <c r="E40" s="10" t="inlineStr">
        <is>
          <t>1960→2025</t>
        </is>
      </c>
      <c r="F40" s="11" t="inlineStr">
        <is>
          <t>L</t>
        </is>
      </c>
      <c r="G40" s="18" t="n"/>
      <c r="H40" s="11" t="inlineStr">
        <is>
          <t>HIGH</t>
        </is>
      </c>
      <c r="I40" s="14" t="inlineStr">
        <is>
          <t>TODO</t>
        </is>
      </c>
      <c r="J40" s="19" t="inlineStr">
        <is>
          <t>2500→&lt;500; thr 1000</t>
        </is>
      </c>
      <c r="K40" s="11" t="inlineStr">
        <is>
          <t>manuscript</t>
        </is>
      </c>
    </row>
    <row r="41">
      <c r="A41" s="11" t="n">
        <v>39</v>
      </c>
      <c r="B41" s="10" t="inlineStr">
        <is>
          <t>IX/TEXT-17</t>
        </is>
      </c>
      <c r="C41" s="17" t="inlineStr">
        <is>
          <t>Debt domestic/external split</t>
        </is>
      </c>
      <c r="D41" s="11" t="inlineStr">
        <is>
          <t>%</t>
        </is>
      </c>
      <c r="E41" s="10" t="inlineStr">
        <is>
          <t>2025</t>
        </is>
      </c>
      <c r="F41" s="11" t="inlineStr">
        <is>
          <t>F</t>
        </is>
      </c>
      <c r="G41" s="18" t="n"/>
      <c r="H41" s="11" t="inlineStr">
        <is>
          <t>HIGH</t>
        </is>
      </c>
      <c r="I41" s="14" t="inlineStr">
        <is>
          <t>TODO</t>
        </is>
      </c>
      <c r="J41" s="19" t="inlineStr">
        <is>
          <t>find (majority domestic)</t>
        </is>
      </c>
      <c r="K41" s="11" t="inlineStr">
        <is>
          <t>-</t>
        </is>
      </c>
    </row>
    <row r="42">
      <c r="A42" s="11" t="n">
        <v>40</v>
      </c>
      <c r="B42" s="10" t="inlineStr">
        <is>
          <t>IX/TEXT-17</t>
        </is>
      </c>
      <c r="C42" s="17" t="inlineStr">
        <is>
          <t>FX-denominated debt share</t>
        </is>
      </c>
      <c r="D42" s="11" t="inlineStr">
        <is>
          <t>%</t>
        </is>
      </c>
      <c r="E42" s="10" t="inlineStr">
        <is>
          <t>2025</t>
        </is>
      </c>
      <c r="F42" s="11" t="inlineStr">
        <is>
          <t>F</t>
        </is>
      </c>
      <c r="G42" s="18" t="n"/>
      <c r="H42" s="11" t="inlineStr">
        <is>
          <t>HIGH</t>
        </is>
      </c>
      <c r="I42" s="14" t="inlineStr">
        <is>
          <t>TODO</t>
        </is>
      </c>
      <c r="J42" s="18" t="inlineStr">
        <is>
          <t>find</t>
        </is>
      </c>
      <c r="K42" s="11" t="inlineStr">
        <is>
          <t>-</t>
        </is>
      </c>
    </row>
  </sheetData>
  <mergeCells count="1">
    <mergeCell ref="A1:K1"/>
  </mergeCells>
  <conditionalFormatting sqref="H3:H42">
    <cfRule type="cellIs" priority="1" operator="equal" dxfId="2">
      <formula>"HIGH"</formula>
    </cfRule>
  </conditionalFormatting>
  <conditionalFormatting sqref="I3:I42">
    <cfRule type="cellIs" priority="2" operator="equal" dxfId="3">
      <formula>"DONE"</formula>
    </cfRule>
  </conditionalFormatting>
  <dataValidations count="2">
    <dataValidation sqref="H3 H4 H5 H6 H7 H8 H9 H10 H11 H12 H13 H14 H15 H16 H17 H18 H19 H20 H21 H22 H23 H24 H25 H26 H27 H28 H29 H30 H31 H32 H33 H34 H35 H36 H37 H38 H39 H40 H41 H42" showDropDown="0" showInputMessage="0" showErrorMessage="0" allowBlank="1" type="list">
      <formula1>"HIGH,MED,LOW"</formula1>
    </dataValidation>
    <dataValidation sqref="I3 I4 I5 I6 I7 I8 I9 I10 I11 I12 I13 I14 I15 I16 I17 I18 I19 I20 I21 I22 I23 I24 I25 I26 I27 I28 I29 I30 I31 I32 I33 I34 I35 I36 I37 I38 I39 I40 I41 I42" showDropDown="0" showInputMessage="0" showErrorMessage="0" allowBlank="1" type="list">
      <formula1>"TODO,IN PROGRESS,DONE,RECONCILE"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2"/>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0" customWidth="1" min="2" max="2"/>
    <col width="9" customWidth="1" min="3" max="3"/>
    <col width="9" customWidth="1" min="4" max="4"/>
    <col width="9" customWidth="1" min="5" max="5"/>
    <col width="9" customWidth="1" min="6" max="6"/>
    <col width="9" customWidth="1" min="7" max="7"/>
  </cols>
  <sheetData>
    <row r="1">
      <c r="A1" s="1" t="inlineStr">
        <is>
          <t>PUBLIC REVENUE &amp; CIT (amnesty fix)</t>
        </is>
      </c>
    </row>
    <row r="2">
      <c r="A2" s="8" t="inlineStr">
        <is>
          <t>Indicator</t>
        </is>
      </c>
      <c r="B2" s="8" t="inlineStr">
        <is>
          <t>Unit</t>
        </is>
      </c>
      <c r="C2" s="8" t="inlineStr">
        <is>
          <t>2021</t>
        </is>
      </c>
      <c r="D2" s="8" t="inlineStr">
        <is>
          <t>2022</t>
        </is>
      </c>
      <c r="E2" s="8" t="inlineStr">
        <is>
          <t>2023</t>
        </is>
      </c>
      <c r="F2" s="8" t="inlineStr">
        <is>
          <t>2024</t>
        </is>
      </c>
      <c r="G2" s="8" t="inlineStr">
        <is>
          <t>2025</t>
        </is>
      </c>
    </row>
    <row r="3">
      <c r="A3" s="12" t="inlineStr">
        <is>
          <t>Total net public revenue</t>
        </is>
      </c>
      <c r="B3" s="11" t="inlineStr">
        <is>
          <t>MAD bn</t>
        </is>
      </c>
      <c r="C3" s="14" t="n"/>
      <c r="D3" s="14" t="n"/>
      <c r="E3" s="14" t="n"/>
      <c r="F3" s="14" t="n"/>
      <c r="G3" s="13" t="n">
        <v>424.1</v>
      </c>
    </row>
    <row r="4">
      <c r="A4" s="12" t="inlineStr">
        <is>
          <t>Tax revenue</t>
        </is>
      </c>
      <c r="B4" s="11" t="inlineStr">
        <is>
          <t>MAD bn</t>
        </is>
      </c>
      <c r="C4" s="14" t="n"/>
      <c r="D4" s="14" t="n"/>
      <c r="E4" s="14" t="n"/>
      <c r="F4" s="14" t="n"/>
      <c r="G4" s="13" t="n">
        <v>342</v>
      </c>
    </row>
    <row r="5">
      <c r="A5" s="12" t="inlineStr">
        <is>
          <t>CIT — TOTAL</t>
        </is>
      </c>
      <c r="B5" s="11" t="inlineStr">
        <is>
          <t>MAD bn</t>
        </is>
      </c>
      <c r="C5" s="14" t="n"/>
      <c r="D5" s="14" t="n"/>
      <c r="E5" s="14" t="n"/>
      <c r="F5" s="13" t="n">
        <v>71.09999999999999</v>
      </c>
      <c r="G5" s="13" t="n">
        <v>91.40000000000001</v>
      </c>
    </row>
    <row r="6">
      <c r="A6" s="12" t="inlineStr">
        <is>
          <t>CIT — one-off regularization</t>
        </is>
      </c>
      <c r="B6" s="11" t="inlineStr">
        <is>
          <t>MAD bn</t>
        </is>
      </c>
      <c r="C6" s="14" t="n"/>
      <c r="D6" s="14" t="n"/>
      <c r="E6" s="14" t="n"/>
      <c r="F6" s="14" t="n"/>
      <c r="G6" s="13" t="n">
        <v>20</v>
      </c>
    </row>
    <row r="7">
      <c r="A7" s="12" t="inlineStr">
        <is>
          <t>CIT — RECURRING (auto)</t>
        </is>
      </c>
      <c r="B7" s="11" t="inlineStr">
        <is>
          <t>MAD bn</t>
        </is>
      </c>
      <c r="C7" s="15">
        <f>IF(C5="","",C5-IF(C6="",0,C6))</f>
        <v/>
      </c>
      <c r="D7" s="15">
        <f>IF(D5="","",D5-IF(D6="",0,D6))</f>
        <v/>
      </c>
      <c r="E7" s="15">
        <f>IF(E5="","",E5-IF(E6="",0,E6))</f>
        <v/>
      </c>
      <c r="F7" s="15">
        <f>IF(F5="","",F5-IF(F6="",0,F6))</f>
        <v/>
      </c>
      <c r="G7" s="15">
        <f>IF(G5="","",G5-IF(G6="",0,G6))</f>
        <v/>
      </c>
    </row>
    <row r="8">
      <c r="A8" s="12" t="inlineStr">
        <is>
          <t>CIT recurring YoY (auto)</t>
        </is>
      </c>
      <c r="B8" s="11" t="inlineStr">
        <is>
          <t>MAD bn</t>
        </is>
      </c>
      <c r="C8" s="15" t="n"/>
      <c r="D8" s="15">
        <f>IF(COUNT(D7,C7)=2,D7-C7,"")</f>
        <v/>
      </c>
      <c r="E8" s="15">
        <f>IF(COUNT(E7,D7)=2,E7-D7,"")</f>
        <v/>
      </c>
      <c r="F8" s="15">
        <f>IF(COUNT(F7,E7)=2,F7-E7,"")</f>
        <v/>
      </c>
      <c r="G8" s="15">
        <f>IF(COUNT(G7,F7)=2,G7-F7,"")</f>
        <v/>
      </c>
    </row>
    <row r="9">
      <c r="A9" s="12" t="inlineStr">
        <is>
          <t>Budget deficit</t>
        </is>
      </c>
      <c r="B9" s="11" t="inlineStr">
        <is>
          <t>% GDP</t>
        </is>
      </c>
      <c r="C9" s="14" t="n"/>
      <c r="D9" s="14" t="n"/>
      <c r="E9" s="14" t="n"/>
      <c r="F9" s="14" t="n"/>
      <c r="G9" s="13" t="n">
        <v>3.5</v>
      </c>
    </row>
    <row r="10">
      <c r="A10" s="20" t="inlineStr">
        <is>
          <t>Total-revenue CAGR 2021→2025 (auto)</t>
        </is>
      </c>
      <c r="B10" s="21">
        <f>IF(COUNT(C3,G3)=2,(G3/C3)^(1/4)-1,"")</f>
        <v/>
      </c>
    </row>
    <row r="11">
      <c r="A11" s="16" t="inlineStr">
        <is>
          <t>Enter the missing years; recurring CIT auto-reveals ~flat. Lean on Total-Revenue CAGR (~12.4%), not the CIT jump. [D] TGR.</t>
        </is>
      </c>
    </row>
    <row r="12"/>
  </sheetData>
  <mergeCells count="2">
    <mergeCell ref="A1:G1"/>
    <mergeCell ref="A11:G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1"/>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0"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s>
  <sheetData>
    <row r="1">
      <c r="A1" s="1" t="inlineStr">
        <is>
          <t>EXTERNAL: CA · REMITTANCES · FDI · RESERVES</t>
        </is>
      </c>
    </row>
    <row r="2">
      <c r="A2" s="8" t="inlineStr">
        <is>
          <t>Indicator</t>
        </is>
      </c>
      <c r="B2" s="8" t="inlineStr">
        <is>
          <t>Unit</t>
        </is>
      </c>
      <c r="C2" s="8" t="inlineStr">
        <is>
          <t>2018</t>
        </is>
      </c>
      <c r="D2" s="8" t="inlineStr">
        <is>
          <t>2019</t>
        </is>
      </c>
      <c r="E2" s="8" t="inlineStr">
        <is>
          <t>2020</t>
        </is>
      </c>
      <c r="F2" s="8" t="inlineStr">
        <is>
          <t>2021</t>
        </is>
      </c>
      <c r="G2" s="8" t="inlineStr">
        <is>
          <t>2022</t>
        </is>
      </c>
      <c r="H2" s="8" t="inlineStr">
        <is>
          <t>2023</t>
        </is>
      </c>
      <c r="I2" s="8" t="inlineStr">
        <is>
          <t>2024</t>
        </is>
      </c>
      <c r="J2" s="8" t="inlineStr">
        <is>
          <t>2025</t>
        </is>
      </c>
    </row>
    <row r="3">
      <c r="A3" s="12" t="inlineStr">
        <is>
          <t>Current account balance</t>
        </is>
      </c>
      <c r="B3" s="11" t="inlineStr">
        <is>
          <t>% GDP</t>
        </is>
      </c>
      <c r="C3" s="14" t="n"/>
      <c r="D3" s="14" t="n"/>
      <c r="E3" s="14" t="n"/>
      <c r="F3" s="14" t="n"/>
      <c r="G3" s="14" t="n"/>
      <c r="H3" s="14" t="n"/>
      <c r="I3" s="14" t="n"/>
      <c r="J3" s="14" t="n"/>
    </row>
    <row r="4">
      <c r="A4" s="12" t="inlineStr">
        <is>
          <t>Worker remittances</t>
        </is>
      </c>
      <c r="B4" s="11" t="inlineStr">
        <is>
          <t>MAD bn</t>
        </is>
      </c>
      <c r="C4" s="14" t="n"/>
      <c r="D4" s="14" t="n"/>
      <c r="E4" s="14" t="n"/>
      <c r="F4" s="14" t="n"/>
      <c r="G4" s="14" t="n"/>
      <c r="H4" s="14" t="n"/>
      <c r="I4" s="26" t="n">
        <v>116.28</v>
      </c>
      <c r="J4" s="26" t="n">
        <v>122</v>
      </c>
    </row>
    <row r="5">
      <c r="A5" s="12" t="inlineStr">
        <is>
          <t>Worker remittances</t>
        </is>
      </c>
      <c r="B5" s="11" t="inlineStr">
        <is>
          <t>% GDP</t>
        </is>
      </c>
      <c r="C5" s="14" t="n"/>
      <c r="D5" s="14" t="n"/>
      <c r="E5" s="26" t="n">
        <v>6.46</v>
      </c>
      <c r="F5" s="14" t="n"/>
      <c r="G5" s="14" t="n"/>
      <c r="H5" s="14" t="n"/>
      <c r="I5" s="26" t="n">
        <v>8</v>
      </c>
      <c r="J5" s="14" t="n"/>
    </row>
    <row r="6">
      <c r="A6" s="12" t="inlineStr">
        <is>
          <t>Net FDI inflows</t>
        </is>
      </c>
      <c r="B6" s="11" t="inlineStr">
        <is>
          <t>MAD bn</t>
        </is>
      </c>
      <c r="C6" s="14" t="n"/>
      <c r="D6" s="14" t="n"/>
      <c r="E6" s="14" t="n"/>
      <c r="F6" s="14" t="n"/>
      <c r="G6" s="14" t="n"/>
      <c r="H6" s="14" t="n"/>
      <c r="I6" s="13" t="n">
        <v>43.8</v>
      </c>
      <c r="J6" s="14" t="n"/>
    </row>
    <row r="7">
      <c r="A7" s="12" t="inlineStr">
        <is>
          <t>FX reserves</t>
        </is>
      </c>
      <c r="B7" s="11" t="inlineStr">
        <is>
          <t>USD bn</t>
        </is>
      </c>
      <c r="C7" s="14" t="n"/>
      <c r="D7" s="14" t="n"/>
      <c r="E7" s="14" t="n"/>
      <c r="F7" s="14" t="n"/>
      <c r="G7" s="14" t="n"/>
      <c r="H7" s="14" t="n"/>
      <c r="I7" s="14" t="n"/>
      <c r="J7" s="13" t="n">
        <v>50</v>
      </c>
    </row>
    <row r="8">
      <c r="A8" s="12" t="inlineStr">
        <is>
          <t>Import cover</t>
        </is>
      </c>
      <c r="B8" s="11" t="inlineStr">
        <is>
          <t>months</t>
        </is>
      </c>
      <c r="C8" s="14" t="n"/>
      <c r="D8" s="14" t="n"/>
      <c r="E8" s="14" t="n"/>
      <c r="F8" s="14" t="n"/>
      <c r="G8" s="14" t="n"/>
      <c r="H8" s="14" t="n"/>
      <c r="I8" s="14" t="n"/>
      <c r="J8" s="13" t="n">
        <v>6</v>
      </c>
    </row>
    <row r="10">
      <c r="A10" s="16" t="inlineStr">
        <is>
          <t>REMITTANCES FOUND (orange=verify): 2024 ~8% GDP / ~MAD116bn; 2025 ~MAD122bn (+2.6%). Replace [X] in TEXT-7 with ~8%. [C] Office des Changes; [G] World Bank.</t>
        </is>
      </c>
    </row>
    <row r="11"/>
  </sheetData>
  <mergeCells count="2">
    <mergeCell ref="A1:J1"/>
    <mergeCell ref="A10:J1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6" customWidth="1" min="1" max="1"/>
    <col width="14" customWidth="1" min="2" max="2"/>
    <col width="14" customWidth="1" min="3" max="3"/>
    <col width="40" customWidth="1" min="4" max="4"/>
  </cols>
  <sheetData>
    <row r="1">
      <c r="A1" s="1" t="inlineStr">
        <is>
          <t>FDI BY SOURCE (latest year) — feeds FIG-2 &amp; TEXT-6</t>
        </is>
      </c>
    </row>
    <row r="2">
      <c r="A2" s="8" t="inlineStr">
        <is>
          <t>Source</t>
        </is>
      </c>
      <c r="B2" s="8" t="inlineStr">
        <is>
          <t>MAD bn</t>
        </is>
      </c>
      <c r="C2" s="8" t="inlineStr">
        <is>
          <t>% (auto)</t>
        </is>
      </c>
      <c r="D2" s="8" t="inlineStr">
        <is>
          <t>Source locator</t>
        </is>
      </c>
    </row>
    <row r="3">
      <c r="A3" s="22" t="inlineStr">
        <is>
          <t>EU total</t>
        </is>
      </c>
      <c r="B3" s="23" t="n"/>
      <c r="C3" s="24">
        <f>IF($B$10=0,"",B3/$B$10)</f>
        <v/>
      </c>
      <c r="D3" s="23" t="n"/>
    </row>
    <row r="4">
      <c r="A4" s="22" t="inlineStr">
        <is>
          <t>France</t>
        </is>
      </c>
      <c r="B4" s="23" t="n"/>
      <c r="C4" s="24">
        <f>IF($B$10=0,"",B4/$B$10)</f>
        <v/>
      </c>
      <c r="D4" s="23" t="n"/>
    </row>
    <row r="5">
      <c r="A5" s="22" t="inlineStr">
        <is>
          <t>Spain</t>
        </is>
      </c>
      <c r="B5" s="23" t="n"/>
      <c r="C5" s="24">
        <f>IF($B$10=0,"",B5/$B$10)</f>
        <v/>
      </c>
      <c r="D5" s="23" t="n"/>
    </row>
    <row r="6">
      <c r="A6" s="22" t="inlineStr">
        <is>
          <t>Gulf (GCC)</t>
        </is>
      </c>
      <c r="B6" s="23" t="n"/>
      <c r="C6" s="24">
        <f>IF($B$10=0,"",B6/$B$10)</f>
        <v/>
      </c>
      <c r="D6" s="23" t="n"/>
    </row>
    <row r="7">
      <c r="A7" s="22" t="inlineStr">
        <is>
          <t>United States</t>
        </is>
      </c>
      <c r="B7" s="23" t="n"/>
      <c r="C7" s="24">
        <f>IF($B$10=0,"",B7/$B$10)</f>
        <v/>
      </c>
      <c r="D7" s="23" t="n"/>
    </row>
    <row r="8">
      <c r="A8" s="22" t="inlineStr">
        <is>
          <t>China</t>
        </is>
      </c>
      <c r="B8" s="23" t="n"/>
      <c r="C8" s="24">
        <f>IF($B$10=0,"",B8/$B$10)</f>
        <v/>
      </c>
      <c r="D8" s="23" t="n"/>
    </row>
    <row r="9">
      <c r="A9" s="22" t="inlineStr">
        <is>
          <t>Other</t>
        </is>
      </c>
      <c r="B9" s="23" t="n"/>
      <c r="C9" s="24">
        <f>IF($B$10=0,"",B9/$B$10)</f>
        <v/>
      </c>
      <c r="D9" s="23" t="n"/>
    </row>
    <row r="10">
      <c r="A10" s="17" t="inlineStr">
        <is>
          <t>TOTAL</t>
        </is>
      </c>
      <c r="B10" s="24">
        <f>SUM(B3:B9)</f>
        <v/>
      </c>
      <c r="C10" s="24">
        <f>IF(B10=0,"",1)</f>
        <v/>
      </c>
      <c r="D10" s="25" t="n"/>
    </row>
  </sheetData>
  <mergeCells count="1">
    <mergeCell ref="A1:D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0" customWidth="1" min="2" max="2"/>
    <col width="9" customWidth="1" min="3" max="3"/>
    <col width="9" customWidth="1" min="4" max="4"/>
    <col width="9" customWidth="1" min="5" max="5"/>
    <col width="9" customWidth="1" min="6" max="6"/>
    <col width="9" customWidth="1" min="7" max="7"/>
    <col width="9" customWidth="1" min="8" max="8"/>
    <col width="9" customWidth="1" min="9" max="9"/>
  </cols>
  <sheetData>
    <row r="1">
      <c r="A1" s="1" t="inlineStr">
        <is>
          <t>INDUSTRIAL EXPORTS &amp; OCP</t>
        </is>
      </c>
    </row>
    <row r="2">
      <c r="A2" s="8" t="inlineStr">
        <is>
          <t>Indicator</t>
        </is>
      </c>
      <c r="B2" s="8" t="inlineStr">
        <is>
          <t>Unit</t>
        </is>
      </c>
      <c r="C2" s="8" t="inlineStr">
        <is>
          <t>2014</t>
        </is>
      </c>
      <c r="D2" s="8" t="inlineStr">
        <is>
          <t>2016</t>
        </is>
      </c>
      <c r="E2" s="8" t="inlineStr">
        <is>
          <t>2018</t>
        </is>
      </c>
      <c r="F2" s="8" t="inlineStr">
        <is>
          <t>2020</t>
        </is>
      </c>
      <c r="G2" s="8" t="inlineStr">
        <is>
          <t>2022</t>
        </is>
      </c>
      <c r="H2" s="8" t="inlineStr">
        <is>
          <t>2024</t>
        </is>
      </c>
      <c r="I2" s="8" t="inlineStr">
        <is>
          <t>2025*</t>
        </is>
      </c>
    </row>
    <row r="3">
      <c r="A3" s="12" t="inlineStr">
        <is>
          <t>Automotive exports</t>
        </is>
      </c>
      <c r="B3" s="11" t="inlineStr">
        <is>
          <t>MAD bn</t>
        </is>
      </c>
      <c r="C3" s="14" t="n"/>
      <c r="D3" s="14" t="n"/>
      <c r="E3" s="14" t="n"/>
      <c r="F3" s="14" t="n"/>
      <c r="G3" s="14" t="n"/>
      <c r="H3" s="13" t="n">
        <v>157</v>
      </c>
      <c r="I3" s="14" t="n"/>
    </row>
    <row r="4">
      <c r="A4" s="12" t="inlineStr">
        <is>
          <t>Aerospace exports</t>
        </is>
      </c>
      <c r="B4" s="11" t="inlineStr">
        <is>
          <t>MAD bn</t>
        </is>
      </c>
      <c r="C4" s="14" t="n"/>
      <c r="D4" s="14" t="n"/>
      <c r="E4" s="14" t="n"/>
      <c r="F4" s="14" t="n"/>
      <c r="G4" s="14" t="n"/>
      <c r="H4" s="13" t="n">
        <v>26.45</v>
      </c>
      <c r="I4" s="14" t="n"/>
    </row>
    <row r="5">
      <c r="A5" s="12" t="inlineStr">
        <is>
          <t>OCP total revenue</t>
        </is>
      </c>
      <c r="B5" s="11" t="inlineStr">
        <is>
          <t>MAD bn</t>
        </is>
      </c>
      <c r="C5" s="14" t="n"/>
      <c r="D5" s="14" t="n"/>
      <c r="E5" s="14" t="n"/>
      <c r="F5" s="14" t="n"/>
      <c r="G5" s="14" t="n"/>
      <c r="H5" s="13" t="n">
        <v>96.98999999999999</v>
      </c>
      <c r="I5" s="14" t="n"/>
    </row>
    <row r="6">
      <c r="A6" s="12" t="inlineStr">
        <is>
          <t>OCP fertilizer share</t>
        </is>
      </c>
      <c r="B6" s="11" t="inlineStr">
        <is>
          <t>%</t>
        </is>
      </c>
      <c r="C6" s="14" t="n"/>
      <c r="D6" s="14" t="n"/>
      <c r="E6" s="14" t="n"/>
      <c r="F6" s="14" t="n"/>
      <c r="G6" s="14" t="n"/>
      <c r="H6" s="13" t="n">
        <v>69</v>
      </c>
      <c r="I6" s="14" t="n"/>
    </row>
    <row r="8">
      <c r="A8" s="16" t="inlineStr">
        <is>
          <t>2025* = latest partial (label it). Auto 9M-25=112.2 (-2.7%); Aero H1-25=14.13 (+8.8%); OCP 9M-25=$9.04bn (+30%). [C][M][P].</t>
        </is>
      </c>
    </row>
    <row r="9"/>
  </sheetData>
  <mergeCells count="2">
    <mergeCell ref="A1:I1"/>
    <mergeCell ref="A8:I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30" customWidth="1" min="1" max="1"/>
    <col width="18" customWidth="1" min="2" max="2"/>
    <col width="18" customWidth="1" min="3" max="3"/>
    <col width="30" customWidth="1" min="4" max="4"/>
  </cols>
  <sheetData>
    <row r="1">
      <c r="A1" s="1" t="inlineStr">
        <is>
          <t>MOROCCO vs SOUTH AFRICA (2025) — FIG-19</t>
        </is>
      </c>
    </row>
    <row r="2">
      <c r="A2" s="8" t="inlineStr">
        <is>
          <t>Metric</t>
        </is>
      </c>
      <c r="B2" s="8" t="inlineStr">
        <is>
          <t>Morocco</t>
        </is>
      </c>
      <c r="C2" s="8" t="inlineStr">
        <is>
          <t>South Africa</t>
        </is>
      </c>
      <c r="D2" s="8" t="inlineStr">
        <is>
          <t>Source ID</t>
        </is>
      </c>
    </row>
    <row r="3">
      <c r="A3" s="17" t="inlineStr">
        <is>
          <t>Inflation %</t>
        </is>
      </c>
      <c r="B3" s="13" t="inlineStr">
        <is>
          <t>0.8</t>
        </is>
      </c>
      <c r="C3" s="13" t="inlineStr">
        <is>
          <t>&gt;4</t>
        </is>
      </c>
      <c r="D3" s="11" t="inlineStr">
        <is>
          <t>A/ext</t>
        </is>
      </c>
    </row>
    <row r="4">
      <c r="A4" s="17" t="inlineStr">
        <is>
          <t>Budget deficit % GDP</t>
        </is>
      </c>
      <c r="B4" s="13" t="inlineStr">
        <is>
          <t>3.5</t>
        </is>
      </c>
      <c r="C4" s="13" t="inlineStr">
        <is>
          <t>-5+</t>
        </is>
      </c>
      <c r="D4" s="11" t="inlineStr">
        <is>
          <t>D/ext</t>
        </is>
      </c>
    </row>
    <row r="5">
      <c r="A5" s="17" t="inlineStr">
        <is>
          <t>Govt debt % GDP</t>
        </is>
      </c>
      <c r="B5" s="13" t="inlineStr">
        <is>
          <t>67.2</t>
        </is>
      </c>
      <c r="C5" s="13" t="inlineStr">
        <is>
          <t>74+</t>
        </is>
      </c>
      <c r="D5" s="11" t="inlineStr">
        <is>
          <t>E/ext</t>
        </is>
      </c>
    </row>
    <row r="6">
      <c r="A6" s="17" t="inlineStr">
        <is>
          <t>S&amp;P rating</t>
        </is>
      </c>
      <c r="B6" s="13" t="inlineStr">
        <is>
          <t>BBB- (IG)</t>
        </is>
      </c>
      <c r="C6" s="13" t="inlineStr">
        <is>
          <t>BB (spec.)</t>
        </is>
      </c>
      <c r="D6" s="11" t="inlineStr">
        <is>
          <t>B</t>
        </is>
      </c>
    </row>
    <row r="7">
      <c r="A7" s="17" t="inlineStr">
        <is>
          <t>Load-shedding days 2023</t>
        </is>
      </c>
      <c r="B7" s="13" t="inlineStr">
        <is>
          <t>0</t>
        </is>
      </c>
      <c r="C7" s="13" t="inlineStr">
        <is>
          <t>335</t>
        </is>
      </c>
      <c r="D7" s="11" t="inlineStr">
        <is>
          <t>ext</t>
        </is>
      </c>
    </row>
    <row r="8">
      <c r="A8" s="17" t="inlineStr">
        <is>
          <t>Currency regime</t>
        </is>
      </c>
      <c r="B8" s="13" t="inlineStr">
        <is>
          <t>managed float</t>
        </is>
      </c>
      <c r="C8" s="13" t="inlineStr">
        <is>
          <t>free float</t>
        </is>
      </c>
      <c r="D8" s="11" t="inlineStr">
        <is>
          <t>E</t>
        </is>
      </c>
    </row>
    <row r="9">
      <c r="A9" s="17" t="inlineStr">
        <is>
          <t>AfDB Industrialisation</t>
        </is>
      </c>
      <c r="B9" s="13" t="inlineStr">
        <is>
          <t>0.8415</t>
        </is>
      </c>
      <c r="C9" s="13" t="inlineStr">
        <is>
          <t>0.8396</t>
        </is>
      </c>
      <c r="D9" s="11" t="inlineStr">
        <is>
          <t>K</t>
        </is>
      </c>
    </row>
  </sheetData>
  <mergeCells count="1">
    <mergeCell ref="A1:D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0" customWidth="1" min="2" max="2"/>
    <col width="9" customWidth="1" min="3" max="3"/>
    <col width="9" customWidth="1" min="4" max="4"/>
    <col width="9" customWidth="1" min="5" max="5"/>
    <col width="9" customWidth="1" min="6" max="6"/>
    <col width="9" customWidth="1" min="7" max="7"/>
    <col width="9" customWidth="1" min="8" max="8"/>
  </cols>
  <sheetData>
    <row r="1">
      <c r="A1" s="1" t="inlineStr">
        <is>
          <t>HUMAN CAPITAL &amp; WATER</t>
        </is>
      </c>
    </row>
    <row r="2">
      <c r="A2" s="8" t="inlineStr">
        <is>
          <t>Indicator</t>
        </is>
      </c>
      <c r="B2" s="8" t="inlineStr">
        <is>
          <t>Unit</t>
        </is>
      </c>
      <c r="C2" s="8" t="inlineStr">
        <is>
          <t>2015</t>
        </is>
      </c>
      <c r="D2" s="8" t="inlineStr">
        <is>
          <t>2017</t>
        </is>
      </c>
      <c r="E2" s="8" t="inlineStr">
        <is>
          <t>2019</t>
        </is>
      </c>
      <c r="F2" s="8" t="inlineStr">
        <is>
          <t>2021</t>
        </is>
      </c>
      <c r="G2" s="8" t="inlineStr">
        <is>
          <t>2023</t>
        </is>
      </c>
      <c r="H2" s="8" t="inlineStr">
        <is>
          <t>2025</t>
        </is>
      </c>
    </row>
    <row r="3">
      <c r="A3" s="12" t="inlineStr">
        <is>
          <t>Youth unemployment</t>
        </is>
      </c>
      <c r="B3" s="11" t="inlineStr">
        <is>
          <t>%</t>
        </is>
      </c>
      <c r="C3" s="14" t="n"/>
      <c r="D3" s="14" t="n"/>
      <c r="E3" s="14" t="n"/>
      <c r="F3" s="14" t="n"/>
      <c r="G3" s="14" t="n"/>
      <c r="H3" s="13" t="n">
        <v>37.7</v>
      </c>
    </row>
    <row r="4">
      <c r="A4" s="12" t="inlineStr">
        <is>
          <t>Female labour-force participation</t>
        </is>
      </c>
      <c r="B4" s="11" t="inlineStr">
        <is>
          <t>%</t>
        </is>
      </c>
      <c r="C4" s="14" t="n"/>
      <c r="D4" s="14" t="n"/>
      <c r="E4" s="14" t="n"/>
      <c r="F4" s="14" t="n"/>
      <c r="G4" s="26" t="n">
        <v>19</v>
      </c>
      <c r="H4" s="26" t="n">
        <v>17.5</v>
      </c>
    </row>
    <row r="5">
      <c r="A5" s="12" t="inlineStr">
        <is>
          <t>NEET rate (youth)</t>
        </is>
      </c>
      <c r="B5" s="11" t="inlineStr">
        <is>
          <t>%</t>
        </is>
      </c>
      <c r="C5" s="14" t="n"/>
      <c r="D5" s="14" t="n"/>
      <c r="E5" s="14" t="n"/>
      <c r="F5" s="14" t="n"/>
      <c r="G5" s="14" t="n"/>
      <c r="H5" s="14" t="n"/>
    </row>
    <row r="6">
      <c r="A6" s="12" t="inlineStr">
        <is>
          <t>Renewable freshwater per capita</t>
        </is>
      </c>
      <c r="B6" s="11" t="inlineStr">
        <is>
          <t>m3/yr</t>
        </is>
      </c>
      <c r="C6" s="14" t="n"/>
      <c r="D6" s="14" t="n"/>
      <c r="E6" s="14" t="n"/>
      <c r="F6" s="14" t="n"/>
      <c r="G6" s="14" t="n"/>
      <c r="H6" s="13" t="n">
        <v>500</v>
      </c>
    </row>
    <row r="8">
      <c r="A8" s="16" t="inlineStr">
        <is>
          <t>FEMALE LFP FOUND (orange=verify): 19% (2023) -&gt; 19.1% (2024) -&gt; 17.5% (Q1-2026, HCP). DECLINING. Use ~19% in TEXT-16 but note the decline. Caution: World Bank 'modeled, 15-64' shows ~21% (different definition) - use HCP 15+ for consistency.</t>
        </is>
      </c>
    </row>
    <row r="9"/>
  </sheetData>
  <mergeCells count="2">
    <mergeCell ref="A8:H9"/>
    <mergeCell ref="A1:H1"/>
  </mergeCell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H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32" customWidth="1" min="1" max="1"/>
    <col width="10" customWidth="1" min="2" max="2"/>
    <col width="9" customWidth="1" min="3" max="3"/>
    <col width="9" customWidth="1" min="4" max="4"/>
    <col width="9" customWidth="1" min="5" max="5"/>
    <col width="9" customWidth="1" min="6" max="6"/>
    <col width="9" customWidth="1" min="7" max="7"/>
    <col width="9" customWidth="1" min="8" max="8"/>
  </cols>
  <sheetData>
    <row r="1">
      <c r="A1" s="1" t="inlineStr">
        <is>
          <t>ECONOMIC COMPLEXITY &amp; VALUE CAPTURE</t>
        </is>
      </c>
    </row>
    <row r="2">
      <c r="A2" s="8" t="inlineStr">
        <is>
          <t>Indicator</t>
        </is>
      </c>
      <c r="B2" s="8" t="inlineStr">
        <is>
          <t>Unit</t>
        </is>
      </c>
      <c r="C2" s="8" t="inlineStr">
        <is>
          <t>2000</t>
        </is>
      </c>
      <c r="D2" s="8" t="inlineStr">
        <is>
          <t>2005</t>
        </is>
      </c>
      <c r="E2" s="8" t="inlineStr">
        <is>
          <t>2010</t>
        </is>
      </c>
      <c r="F2" s="8" t="inlineStr">
        <is>
          <t>2015</t>
        </is>
      </c>
      <c r="G2" s="8" t="inlineStr">
        <is>
          <t>2020</t>
        </is>
      </c>
      <c r="H2" s="8" t="inlineStr">
        <is>
          <t>2023</t>
        </is>
      </c>
    </row>
    <row r="3">
      <c r="A3" s="12" t="inlineStr">
        <is>
          <t>ECI rank</t>
        </is>
      </c>
      <c r="B3" s="11" t="inlineStr">
        <is>
          <t>rank</t>
        </is>
      </c>
      <c r="C3" s="14" t="n"/>
      <c r="D3" s="14" t="n"/>
      <c r="E3" s="14" t="n"/>
      <c r="F3" s="14" t="n"/>
      <c r="G3" s="14" t="n"/>
      <c r="H3" s="26" t="n">
        <v>78</v>
      </c>
    </row>
    <row r="4">
      <c r="A4" s="12" t="inlineStr">
        <is>
          <t>ECI value</t>
        </is>
      </c>
      <c r="B4" s="11" t="inlineStr">
        <is>
          <t>index</t>
        </is>
      </c>
      <c r="C4" s="14" t="n"/>
      <c r="D4" s="14" t="n"/>
      <c r="E4" s="14" t="n"/>
      <c r="F4" s="14" t="n"/>
      <c r="G4" s="14" t="n"/>
      <c r="H4" s="14" t="n"/>
    </row>
    <row r="5">
      <c r="A5" s="12" t="inlineStr">
        <is>
          <t>Domestic VA in exports</t>
        </is>
      </c>
      <c r="B5" s="11" t="inlineStr">
        <is>
          <t>%</t>
        </is>
      </c>
      <c r="C5" s="14" t="n"/>
      <c r="D5" s="14" t="n"/>
      <c r="E5" s="14" t="n"/>
      <c r="F5" s="14" t="n"/>
      <c r="G5" s="14" t="n"/>
      <c r="H5" s="14" t="n"/>
    </row>
    <row r="6">
      <c r="A6" t="inlineStr">
        <is>
          <t>ECI: OEC ranks Morocco #78 (latest). MUST pull Harvard Atlas figure separately (different methodology) AND verify the multi-year DIRECTION before writing 'moved materially up'. [H] atlas.hks.harvard.edu ; cross-check ourworldindata.org/grapher/economic-complexity-rankings.</t>
        </is>
      </c>
    </row>
    <row r="7">
      <c r="A7" s="16" t="inlineStr">
        <is>
          <t>Pull ECI from atlas.hks.harvard.edu [H]. VERIFY recent direction before 'moved up'. TiVA≠LIR [I].</t>
        </is>
      </c>
    </row>
    <row r="8"/>
  </sheetData>
  <mergeCells count="2">
    <mergeCell ref="A7:H8"/>
    <mergeCell ref="A1:H1"/>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30" customWidth="1" min="1" max="1"/>
    <col width="22" customWidth="1" min="2" max="2"/>
    <col width="22" customWidth="1" min="3" max="3"/>
    <col width="18" customWidth="1" min="4" max="4"/>
    <col width="34" customWidth="1" min="5" max="5"/>
  </cols>
  <sheetData>
    <row r="1">
      <c r="A1" s="1" t="inlineStr">
        <is>
          <t>RECONCILIATION — known conflicts (1 already resolved)</t>
        </is>
      </c>
    </row>
    <row r="2">
      <c r="A2" s="8" t="inlineStr">
        <is>
          <t>Conflict</t>
        </is>
      </c>
      <c r="B2" s="8" t="inlineStr">
        <is>
          <t>Value A</t>
        </is>
      </c>
      <c r="C2" s="8" t="inlineStr">
        <is>
          <t>Value B</t>
        </is>
      </c>
      <c r="D2" s="8" t="inlineStr">
        <is>
          <t>Decision</t>
        </is>
      </c>
      <c r="E2" s="8" t="inlineStr">
        <is>
          <t>Action</t>
        </is>
      </c>
    </row>
    <row r="3">
      <c r="A3" s="12" t="inlineStr">
        <is>
          <t>S-I gap (RESOLVED)</t>
        </is>
      </c>
      <c r="B3" s="25" t="inlineStr">
        <is>
          <t>2.9% = Q3-2025</t>
        </is>
      </c>
      <c r="C3" s="25" t="inlineStr">
        <is>
          <t>2.6% = Q4-2025</t>
        </is>
      </c>
      <c r="D3" s="24" t="inlineStr">
        <is>
          <t>Use Q4-25</t>
        </is>
      </c>
      <c r="E3" s="10" t="inlineStr">
        <is>
          <t>Different quarters, both correct. Headline Q4; cite Q3 as prior.</t>
        </is>
      </c>
    </row>
    <row r="4">
      <c r="A4" s="12" t="inlineStr">
        <is>
          <t>Savings/Investment (RESOLVED)</t>
        </is>
      </c>
      <c r="B4" s="25" t="inlineStr">
        <is>
          <t>29.7/32.6 = Q3</t>
        </is>
      </c>
      <c r="C4" s="25" t="inlineStr">
        <is>
          <t>30.8/33.4 = Q4</t>
        </is>
      </c>
      <c r="D4" s="24" t="inlineStr">
        <is>
          <t>Use Q4-25</t>
        </is>
      </c>
      <c r="E4" s="10" t="inlineStr">
        <is>
          <t>Same as above; confirmed from PDF [A].</t>
        </is>
      </c>
    </row>
    <row r="5">
      <c r="A5" s="12" t="inlineStr">
        <is>
          <t>FX import cover</t>
        </is>
      </c>
      <c r="B5" s="25" t="inlineStr">
        <is>
          <t>6 months</t>
        </is>
      </c>
      <c r="C5" s="25" t="inlineStr">
        <is>
          <t>5.5 months</t>
        </is>
      </c>
      <c r="D5" s="23" t="inlineStr"/>
      <c r="E5" s="10" t="inlineStr">
        <is>
          <t>Use 6; delete 5.5 in Part VIII.</t>
        </is>
      </c>
    </row>
    <row r="6">
      <c r="A6" s="12" t="inlineStr">
        <is>
          <t>2025 deficit</t>
        </is>
      </c>
      <c r="B6" s="25" t="inlineStr">
        <is>
          <t>3.5%</t>
        </is>
      </c>
      <c r="C6" s="25" t="inlineStr">
        <is>
          <t>3.6%</t>
        </is>
      </c>
      <c r="D6" s="23" t="inlineStr"/>
      <c r="E6" s="10" t="inlineStr">
        <is>
          <t>Use 3.5; fix scorecard.</t>
        </is>
      </c>
    </row>
    <row r="7">
      <c r="A7" s="12" t="inlineStr">
        <is>
          <t>LIR auto</t>
        </is>
      </c>
      <c r="B7" s="25" t="inlineStr">
        <is>
          <t>'exceeded 65%'</t>
        </is>
      </c>
      <c r="C7" s="25" t="inlineStr">
        <is>
          <t>'set at 65%'</t>
        </is>
      </c>
      <c r="D7" s="23" t="inlineStr"/>
      <c r="E7" s="10" t="inlineStr">
        <is>
          <t>State target vs achieved.</t>
        </is>
      </c>
    </row>
    <row r="8">
      <c r="A8" s="12" t="inlineStr">
        <is>
          <t>CIT signal</t>
        </is>
      </c>
      <c r="B8" s="25" t="inlineStr">
        <is>
          <t>+28.6%='health'</t>
        </is>
      </c>
      <c r="C8" s="25" t="inlineStr">
        <is>
          <t>incl. 20bn one-off</t>
        </is>
      </c>
      <c r="D8" s="23" t="inlineStr"/>
      <c r="E8" s="10" t="inlineStr">
        <is>
          <t>Use recurring + 12.4% revenue CAGR.</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2026-06-10T13:50:37Z</dcterms:created>
  <dcterms:modified xsi:type="dcterms:W3CDTF">2026-06-10T14:17:36Z</dcterms:modified>
</cp:coreProperties>
</file>